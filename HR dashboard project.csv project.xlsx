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D:\"/>
    </mc:Choice>
  </mc:AlternateContent>
  <xr:revisionPtr revIDLastSave="0" documentId="8_{4FCE32D9-987E-4AC5-93F8-01261D3533EA}" xr6:coauthVersionLast="47" xr6:coauthVersionMax="47" xr10:uidLastSave="{00000000-0000-0000-0000-000000000000}"/>
  <bookViews>
    <workbookView xWindow="-108" yWindow="-108" windowWidth="23256" windowHeight="12456" activeTab="3" xr2:uid="{AFFD893F-AB35-4B86-A4CC-FAC70B73F2C0}"/>
  </bookViews>
  <sheets>
    <sheet name="HR-Employee-Attrition" sheetId="1" r:id="rId1"/>
    <sheet name="KPIs" sheetId="5" r:id="rId2"/>
    <sheet name="Total Employees" sheetId="6" r:id="rId3"/>
    <sheet name="Dashboard" sheetId="14" r:id="rId4"/>
  </sheets>
  <definedNames>
    <definedName name="Slicer_EducationField">#N/A</definedName>
    <definedName name="Slicer_Gender">#N/A</definedName>
  </definedNames>
  <calcPr calcId="191029"/>
  <pivotCaches>
    <pivotCache cacheId="16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5" l="1"/>
  <c r="E10" i="5"/>
  <c r="D10" i="5"/>
  <c r="A10" i="5"/>
  <c r="C17" i="5"/>
  <c r="C18" i="5"/>
  <c r="B15" i="6"/>
  <c r="B14" i="6"/>
  <c r="C10" i="5" l="1"/>
  <c r="C14" i="6"/>
  <c r="C15" i="6"/>
</calcChain>
</file>

<file path=xl/sharedStrings.xml><?xml version="1.0" encoding="utf-8"?>
<sst xmlns="http://schemas.openxmlformats.org/spreadsheetml/2006/main" count="13310" uniqueCount="80">
  <si>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</si>
  <si>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</si>
  <si>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</si>
  <si>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</si>
  <si>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</si>
  <si>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</si>
  <si>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</si>
  <si>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</si>
  <si>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</si>
  <si>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</si>
  <si>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</si>
  <si>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</si>
  <si>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</si>
  <si>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</si>
  <si>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</si>
  <si>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</si>
  <si>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</si>
  <si>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</si>
  <si>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</si>
  <si>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</si>
  <si>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</si>
  <si>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</si>
  <si>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</si>
  <si>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</si>
  <si>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</si>
  <si>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</si>
  <si>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</si>
  <si>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</si>
  <si>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</si>
  <si>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</si>
  <si>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</si>
  <si>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</si>
  <si>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</si>
  <si>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</si>
  <si>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</si>
  <si>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</si>
  <si>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</si>
  <si>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</si>
  <si>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</si>
  <si>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</si>
  <si>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</si>
  <si>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</si>
  <si>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</si>
  <si>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</si>
  <si>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</si>
  <si>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</si>
  <si>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</si>
  <si>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</si>
  <si>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</si>
  <si>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</si>
  <si>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</si>
  <si>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</si>
  <si>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</si>
  <si>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</si>
  <si>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</si>
  <si>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</si>
  <si>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</si>
  <si>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</si>
  <si>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</si>
  <si>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</si>
  <si>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</si>
  <si>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</si>
  <si>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Grand Total</t>
  </si>
  <si>
    <t>Total Employees</t>
  </si>
  <si>
    <t>Row Labels</t>
  </si>
  <si>
    <t>Business Travel</t>
  </si>
  <si>
    <t>KPIs</t>
  </si>
  <si>
    <t>No. of Employee</t>
  </si>
  <si>
    <t>Count of EmployeeCount</t>
  </si>
  <si>
    <t>Count of EmployeeNumber</t>
  </si>
  <si>
    <t>Years Since Last Promotion</t>
  </si>
  <si>
    <t>Over Time</t>
  </si>
  <si>
    <t>Job Level</t>
  </si>
  <si>
    <t>Average of PercentSalaryHike</t>
  </si>
  <si>
    <t>Average Salary Hike</t>
  </si>
  <si>
    <t>Sum of StandardHours</t>
  </si>
  <si>
    <t>Attrition Rate</t>
  </si>
  <si>
    <t>Frequent Business Travelers</t>
  </si>
  <si>
    <t>Average of MonthlyIncome</t>
  </si>
  <si>
    <t>Top Department by Salary Hike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</si>
</sst>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b/>
      <sz val="28"/>
      <color theme="1"/>
      <name val="Gill Sans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18" fillId="33" borderId="0" xfId="0" applyFont="1" applyFill="1" applyAlignment="1">
      <alignment horizontal="center" vertical="center"/>
    </xf>
    <xf numFmtId="0" fontId="0" fillId="0" borderId="0" xfId="0" applyNumberFormat="1"/>
    <xf numFmtId="9" fontId="0" fillId="0" borderId="0" xfId="42" applyFont="1"/>
    <xf numFmtId="2" fontId="0" fillId="0" borderId="0" xfId="0" applyNumberFormat="1"/>
    <xf numFmtId="10" fontId="0" fillId="0" borderId="0" xfId="42" applyNumberFormat="1" applyFont="1"/>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2">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172" formatCode="0.000"/>
    </dxf>
    <dxf>
      <numFmt numFmtId="2" formatCode="0.00"/>
    </dxf>
    <dxf>
      <numFmt numFmtId="2" formatCode="0.00"/>
    </dxf>
    <dxf>
      <numFmt numFmtId="172" formatCode="0.000"/>
    </dxf>
  </dxfs>
  <tableStyles count="0" defaultTableStyle="TableStyleMedium2" defaultPivotStyle="PivotStyleLight16"/>
  <colors>
    <mruColors>
      <color rgb="FF7B2CBF"/>
      <color rgb="FF9D4EDD"/>
      <color rgb="FF5A189A"/>
      <color rgb="FFE0AAFF"/>
      <color rgb="FFC77DFF"/>
      <color rgb="FFD17DCB"/>
      <color rgb="FF2600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63F9-43A4-8B5C-192837106B60}"/>
              </c:ext>
            </c:extLst>
          </c:dPt>
          <c:dPt>
            <c:idx val="1"/>
            <c:bubble3D val="0"/>
            <c:spPr>
              <a:solidFill>
                <a:schemeClr val="accent2"/>
              </a:solidFill>
              <a:ln w="19050">
                <a:solidFill>
                  <a:schemeClr val="lt1"/>
                </a:solidFill>
              </a:ln>
              <a:effectLst/>
            </c:spPr>
          </c:dPt>
          <c:val>
            <c:numRef>
              <c:f>'Total Employees'!$C$14:$C$15</c:f>
              <c:numCache>
                <c:formatCode>0%</c:formatCode>
                <c:ptCount val="2"/>
                <c:pt idx="0">
                  <c:v>0.4</c:v>
                </c:pt>
                <c:pt idx="1">
                  <c:v>0.6</c:v>
                </c:pt>
              </c:numCache>
            </c:numRef>
          </c:val>
          <c:extLst>
            <c:ext xmlns:c16="http://schemas.microsoft.com/office/drawing/2014/chart" uri="{C3380CC4-5D6E-409C-BE32-E72D297353CC}">
              <c16:uniqueId val="{00000000-63F9-43A4-8B5C-192837106B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E2-42B0-B88E-7DB7289C38FA}"/>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71E2-42B0-B88E-7DB7289C38FA}"/>
              </c:ext>
            </c:extLst>
          </c:dPt>
          <c:val>
            <c:numRef>
              <c:f>'Total Employees'!$C$14:$C$15</c:f>
              <c:numCache>
                <c:formatCode>0%</c:formatCode>
                <c:ptCount val="2"/>
                <c:pt idx="0">
                  <c:v>0.4</c:v>
                </c:pt>
                <c:pt idx="1">
                  <c:v>0.6</c:v>
                </c:pt>
              </c:numCache>
            </c:numRef>
          </c:val>
          <c:extLst>
            <c:ext xmlns:c16="http://schemas.microsoft.com/office/drawing/2014/chart" uri="{C3380CC4-5D6E-409C-BE32-E72D297353CC}">
              <c16:uniqueId val="{00000004-71E2-42B0-B88E-7DB7289C38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project.csv project.xlsx]Total Employees!PivotTable49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Employees'!$B$36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Employees'!$A$37:$A$42</c:f>
              <c:strCache>
                <c:ptCount val="5"/>
                <c:pt idx="0">
                  <c:v>1</c:v>
                </c:pt>
                <c:pt idx="1">
                  <c:v>2</c:v>
                </c:pt>
                <c:pt idx="2">
                  <c:v>3</c:v>
                </c:pt>
                <c:pt idx="3">
                  <c:v>4</c:v>
                </c:pt>
                <c:pt idx="4">
                  <c:v>5</c:v>
                </c:pt>
              </c:strCache>
            </c:strRef>
          </c:cat>
          <c:val>
            <c:numRef>
              <c:f>'Total Employees'!$B$37:$B$42</c:f>
              <c:numCache>
                <c:formatCode>General</c:formatCode>
                <c:ptCount val="5"/>
                <c:pt idx="0">
                  <c:v>2786.9152854511972</c:v>
                </c:pt>
                <c:pt idx="1">
                  <c:v>5502.2771535580523</c:v>
                </c:pt>
                <c:pt idx="2">
                  <c:v>9817.2522935779816</c:v>
                </c:pt>
                <c:pt idx="3">
                  <c:v>15503.783018867925</c:v>
                </c:pt>
                <c:pt idx="4">
                  <c:v>19191.82608695652</c:v>
                </c:pt>
              </c:numCache>
            </c:numRef>
          </c:val>
          <c:extLst>
            <c:ext xmlns:c16="http://schemas.microsoft.com/office/drawing/2014/chart" uri="{C3380CC4-5D6E-409C-BE32-E72D297353CC}">
              <c16:uniqueId val="{00000002-D499-4E28-9F8E-2BB1FBF0E56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project.csv project.xlsx]Total Employees!PivotTable63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Distribution by Job Level</a:t>
            </a:r>
            <a:endParaRPr lang="en-US"/>
          </a:p>
        </c:rich>
      </c:tx>
      <c:layout>
        <c:manualLayout>
          <c:xMode val="edge"/>
          <c:yMode val="edge"/>
          <c:x val="0.20627777777777773"/>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Employees'!$B$47</c:f>
              <c:strCache>
                <c:ptCount val="1"/>
                <c:pt idx="0">
                  <c:v>Total</c:v>
                </c:pt>
              </c:strCache>
            </c:strRef>
          </c:tx>
          <c:spPr>
            <a:solidFill>
              <a:schemeClr val="accent1"/>
            </a:solidFill>
            <a:ln>
              <a:noFill/>
            </a:ln>
            <a:effectLst/>
          </c:spPr>
          <c:invertIfNegative val="0"/>
          <c:cat>
            <c:strRef>
              <c:f>'Total Employees'!$A$48:$A$53</c:f>
              <c:strCache>
                <c:ptCount val="5"/>
                <c:pt idx="0">
                  <c:v>1</c:v>
                </c:pt>
                <c:pt idx="1">
                  <c:v>2</c:v>
                </c:pt>
                <c:pt idx="2">
                  <c:v>3</c:v>
                </c:pt>
                <c:pt idx="3">
                  <c:v>4</c:v>
                </c:pt>
                <c:pt idx="4">
                  <c:v>5</c:v>
                </c:pt>
              </c:strCache>
            </c:strRef>
          </c:cat>
          <c:val>
            <c:numRef>
              <c:f>'Total Employees'!$B$48:$B$53</c:f>
              <c:numCache>
                <c:formatCode>General</c:formatCode>
                <c:ptCount val="5"/>
                <c:pt idx="0">
                  <c:v>43440</c:v>
                </c:pt>
                <c:pt idx="1">
                  <c:v>42720</c:v>
                </c:pt>
                <c:pt idx="2">
                  <c:v>17440</c:v>
                </c:pt>
                <c:pt idx="3">
                  <c:v>8480</c:v>
                </c:pt>
                <c:pt idx="4">
                  <c:v>5520</c:v>
                </c:pt>
              </c:numCache>
            </c:numRef>
          </c:val>
          <c:extLst>
            <c:ext xmlns:c16="http://schemas.microsoft.com/office/drawing/2014/chart" uri="{C3380CC4-5D6E-409C-BE32-E72D297353CC}">
              <c16:uniqueId val="{00000000-F6D2-4F35-908C-5007DE1EA616}"/>
            </c:ext>
          </c:extLst>
        </c:ser>
        <c:dLbls>
          <c:showLegendKey val="0"/>
          <c:showVal val="0"/>
          <c:showCatName val="0"/>
          <c:showSerName val="0"/>
          <c:showPercent val="0"/>
          <c:showBubbleSize val="0"/>
        </c:dLbls>
        <c:gapWidth val="219"/>
        <c:overlap val="-27"/>
        <c:axId val="1366153072"/>
        <c:axId val="1366154032"/>
      </c:barChart>
      <c:catAx>
        <c:axId val="13661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154032"/>
        <c:crosses val="autoZero"/>
        <c:auto val="1"/>
        <c:lblAlgn val="ctr"/>
        <c:lblOffset val="100"/>
        <c:noMultiLvlLbl val="0"/>
      </c:catAx>
      <c:valAx>
        <c:axId val="136615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15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project.csv project.xlsx]Total Employees!PivotTable64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Employees by Years Since Last Promotion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Employees'!$B$63</c:f>
              <c:strCache>
                <c:ptCount val="1"/>
                <c:pt idx="0">
                  <c:v>Total</c:v>
                </c:pt>
              </c:strCache>
            </c:strRef>
          </c:tx>
          <c:spPr>
            <a:solidFill>
              <a:schemeClr val="accent1"/>
            </a:solidFill>
            <a:ln>
              <a:noFill/>
            </a:ln>
            <a:effectLst/>
          </c:spPr>
          <c:invertIfNegative val="0"/>
          <c:cat>
            <c:strRef>
              <c:f>'Total Employees'!$A$64:$A$80</c:f>
              <c:strCache>
                <c:ptCount val="16"/>
                <c:pt idx="0">
                  <c:v>10</c:v>
                </c:pt>
                <c:pt idx="1">
                  <c:v>14</c:v>
                </c:pt>
                <c:pt idx="2">
                  <c:v>12</c:v>
                </c:pt>
                <c:pt idx="3">
                  <c:v>13</c:v>
                </c:pt>
                <c:pt idx="4">
                  <c:v>15</c:v>
                </c:pt>
                <c:pt idx="5">
                  <c:v>9</c:v>
                </c:pt>
                <c:pt idx="6">
                  <c:v>8</c:v>
                </c:pt>
                <c:pt idx="7">
                  <c:v>11</c:v>
                </c:pt>
                <c:pt idx="8">
                  <c:v>6</c:v>
                </c:pt>
                <c:pt idx="9">
                  <c:v>5</c:v>
                </c:pt>
                <c:pt idx="10">
                  <c:v>3</c:v>
                </c:pt>
                <c:pt idx="11">
                  <c:v>4</c:v>
                </c:pt>
                <c:pt idx="12">
                  <c:v>7</c:v>
                </c:pt>
                <c:pt idx="13">
                  <c:v>2</c:v>
                </c:pt>
                <c:pt idx="14">
                  <c:v>1</c:v>
                </c:pt>
                <c:pt idx="15">
                  <c:v>0</c:v>
                </c:pt>
              </c:strCache>
            </c:strRef>
          </c:cat>
          <c:val>
            <c:numRef>
              <c:f>'Total Employees'!$B$64:$B$80</c:f>
              <c:numCache>
                <c:formatCode>General</c:formatCode>
                <c:ptCount val="16"/>
                <c:pt idx="0">
                  <c:v>6</c:v>
                </c:pt>
                <c:pt idx="1">
                  <c:v>9</c:v>
                </c:pt>
                <c:pt idx="2">
                  <c:v>10</c:v>
                </c:pt>
                <c:pt idx="3">
                  <c:v>10</c:v>
                </c:pt>
                <c:pt idx="4">
                  <c:v>13</c:v>
                </c:pt>
                <c:pt idx="5">
                  <c:v>17</c:v>
                </c:pt>
                <c:pt idx="6">
                  <c:v>18</c:v>
                </c:pt>
                <c:pt idx="7">
                  <c:v>24</c:v>
                </c:pt>
                <c:pt idx="8">
                  <c:v>32</c:v>
                </c:pt>
                <c:pt idx="9">
                  <c:v>45</c:v>
                </c:pt>
                <c:pt idx="10">
                  <c:v>52</c:v>
                </c:pt>
                <c:pt idx="11">
                  <c:v>61</c:v>
                </c:pt>
                <c:pt idx="12">
                  <c:v>76</c:v>
                </c:pt>
                <c:pt idx="13">
                  <c:v>159</c:v>
                </c:pt>
                <c:pt idx="14">
                  <c:v>357</c:v>
                </c:pt>
                <c:pt idx="15">
                  <c:v>581</c:v>
                </c:pt>
              </c:numCache>
            </c:numRef>
          </c:val>
          <c:extLst>
            <c:ext xmlns:c16="http://schemas.microsoft.com/office/drawing/2014/chart" uri="{C3380CC4-5D6E-409C-BE32-E72D297353CC}">
              <c16:uniqueId val="{00000000-1847-4D97-8508-6B326FB294FA}"/>
            </c:ext>
          </c:extLst>
        </c:ser>
        <c:dLbls>
          <c:showLegendKey val="0"/>
          <c:showVal val="0"/>
          <c:showCatName val="0"/>
          <c:showSerName val="0"/>
          <c:showPercent val="0"/>
          <c:showBubbleSize val="0"/>
        </c:dLbls>
        <c:gapWidth val="182"/>
        <c:axId val="1580182960"/>
        <c:axId val="1580180560"/>
      </c:barChart>
      <c:catAx>
        <c:axId val="158018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80560"/>
        <c:crosses val="autoZero"/>
        <c:auto val="1"/>
        <c:lblAlgn val="ctr"/>
        <c:lblOffset val="100"/>
        <c:noMultiLvlLbl val="0"/>
      </c:catAx>
      <c:valAx>
        <c:axId val="158018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8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project.csv project.xlsx]Total Employees!PivotTable67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Employees'!$B$82</c:f>
              <c:strCache>
                <c:ptCount val="1"/>
                <c:pt idx="0">
                  <c:v>Total</c:v>
                </c:pt>
              </c:strCache>
            </c:strRef>
          </c:tx>
          <c:spPr>
            <a:solidFill>
              <a:schemeClr val="accent1"/>
            </a:solidFill>
            <a:ln>
              <a:noFill/>
            </a:ln>
            <a:effectLst/>
          </c:spPr>
          <c:invertIfNegative val="0"/>
          <c:cat>
            <c:strRef>
              <c:f>'Total Employees'!$A$83:$A$86</c:f>
              <c:strCache>
                <c:ptCount val="3"/>
                <c:pt idx="0">
                  <c:v>Human Resources</c:v>
                </c:pt>
                <c:pt idx="1">
                  <c:v>Sales</c:v>
                </c:pt>
                <c:pt idx="2">
                  <c:v>Research &amp; Development</c:v>
                </c:pt>
              </c:strCache>
            </c:strRef>
          </c:cat>
          <c:val>
            <c:numRef>
              <c:f>'Total Employees'!$B$83:$B$86</c:f>
              <c:numCache>
                <c:formatCode>0.00</c:formatCode>
                <c:ptCount val="3"/>
                <c:pt idx="0">
                  <c:v>14.761904761904763</c:v>
                </c:pt>
                <c:pt idx="1">
                  <c:v>15.096412556053812</c:v>
                </c:pt>
                <c:pt idx="2">
                  <c:v>15.291363163371487</c:v>
                </c:pt>
              </c:numCache>
            </c:numRef>
          </c:val>
          <c:extLst>
            <c:ext xmlns:c16="http://schemas.microsoft.com/office/drawing/2014/chart" uri="{C3380CC4-5D6E-409C-BE32-E72D297353CC}">
              <c16:uniqueId val="{00000000-F5AD-4C63-88C4-B72108C33749}"/>
            </c:ext>
          </c:extLst>
        </c:ser>
        <c:dLbls>
          <c:showLegendKey val="0"/>
          <c:showVal val="0"/>
          <c:showCatName val="0"/>
          <c:showSerName val="0"/>
          <c:showPercent val="0"/>
          <c:showBubbleSize val="0"/>
        </c:dLbls>
        <c:gapWidth val="182"/>
        <c:axId val="1774105568"/>
        <c:axId val="1774108928"/>
      </c:barChart>
      <c:catAx>
        <c:axId val="177410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108928"/>
        <c:crosses val="autoZero"/>
        <c:auto val="1"/>
        <c:lblAlgn val="ctr"/>
        <c:lblOffset val="100"/>
        <c:noMultiLvlLbl val="0"/>
      </c:catAx>
      <c:valAx>
        <c:axId val="17741089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10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project.csv project.xlsx]Total Employees!PivotTable68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Employees'!$B$93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Employees'!$A$94:$A$97</c:f>
              <c:strCache>
                <c:ptCount val="3"/>
                <c:pt idx="0">
                  <c:v>Travel_Rarely</c:v>
                </c:pt>
                <c:pt idx="1">
                  <c:v>Travel_Frequently</c:v>
                </c:pt>
                <c:pt idx="2">
                  <c:v>Non-Travel</c:v>
                </c:pt>
              </c:strCache>
            </c:strRef>
          </c:cat>
          <c:val>
            <c:numRef>
              <c:f>'Total Employees'!$B$94:$B$97</c:f>
              <c:numCache>
                <c:formatCode>General</c:formatCode>
                <c:ptCount val="3"/>
                <c:pt idx="0">
                  <c:v>1043</c:v>
                </c:pt>
                <c:pt idx="1">
                  <c:v>277</c:v>
                </c:pt>
                <c:pt idx="2">
                  <c:v>150</c:v>
                </c:pt>
              </c:numCache>
            </c:numRef>
          </c:val>
          <c:extLst>
            <c:ext xmlns:c16="http://schemas.microsoft.com/office/drawing/2014/chart" uri="{C3380CC4-5D6E-409C-BE32-E72D297353CC}">
              <c16:uniqueId val="{00000000-06F1-45F1-99A7-467042169EAA}"/>
            </c:ext>
          </c:extLst>
        </c:ser>
        <c:dLbls>
          <c:dLblPos val="inEnd"/>
          <c:showLegendKey val="0"/>
          <c:showVal val="1"/>
          <c:showCatName val="0"/>
          <c:showSerName val="0"/>
          <c:showPercent val="0"/>
          <c:showBubbleSize val="0"/>
        </c:dLbls>
        <c:gapWidth val="100"/>
        <c:overlap val="-27"/>
        <c:axId val="1553742960"/>
        <c:axId val="1553741040"/>
      </c:barChart>
      <c:catAx>
        <c:axId val="155374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41040"/>
        <c:crosses val="autoZero"/>
        <c:auto val="0"/>
        <c:lblAlgn val="ctr"/>
        <c:lblOffset val="100"/>
        <c:noMultiLvlLbl val="0"/>
      </c:catAx>
      <c:valAx>
        <c:axId val="1553741040"/>
        <c:scaling>
          <c:orientation val="minMax"/>
        </c:scaling>
        <c:delete val="1"/>
        <c:axPos val="l"/>
        <c:numFmt formatCode="General" sourceLinked="1"/>
        <c:majorTickMark val="none"/>
        <c:minorTickMark val="none"/>
        <c:tickLblPos val="nextTo"/>
        <c:crossAx val="155374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project.csv project.xlsx]Total Employees!PivotTable63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Total Standard Working Hours by Job Level</a:t>
            </a:r>
            <a:endParaRPr lang="en-US" b="1">
              <a:solidFill>
                <a:schemeClr val="tx1"/>
              </a:solidFill>
            </a:endParaRPr>
          </a:p>
        </c:rich>
      </c:tx>
      <c:layout>
        <c:manualLayout>
          <c:xMode val="edge"/>
          <c:yMode val="edge"/>
          <c:x val="0.12376965255580676"/>
          <c:y val="4.624481297379726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solidFill>
            <a:srgbClr val="5A189A"/>
          </a:solidFill>
        </c:spPr>
      </c:pivotFmt>
      <c:pivotFmt>
        <c:idx val="5"/>
        <c:spPr>
          <a:solidFill>
            <a:srgbClr val="7B2CBF"/>
          </a:solidFill>
        </c:spPr>
      </c:pivotFmt>
      <c:pivotFmt>
        <c:idx val="6"/>
        <c:spPr>
          <a:solidFill>
            <a:srgbClr val="9D4EDD"/>
          </a:solidFill>
        </c:spPr>
      </c:pivotFmt>
      <c:pivotFmt>
        <c:idx val="7"/>
        <c:spPr>
          <a:solidFill>
            <a:srgbClr val="C77DFF"/>
          </a:solidFill>
        </c:spPr>
      </c:pivotFmt>
      <c:pivotFmt>
        <c:idx val="8"/>
        <c:spPr>
          <a:solidFill>
            <a:srgbClr val="E0AAFF"/>
          </a:solidFill>
        </c:spPr>
      </c:pivotFmt>
    </c:pivotFmts>
    <c:plotArea>
      <c:layout/>
      <c:barChart>
        <c:barDir val="col"/>
        <c:grouping val="clustered"/>
        <c:varyColors val="0"/>
        <c:ser>
          <c:idx val="1"/>
          <c:order val="0"/>
          <c:tx>
            <c:strRef>
              <c:f>'Total Employees'!$B$47</c:f>
              <c:strCache>
                <c:ptCount val="1"/>
                <c:pt idx="0">
                  <c:v>Total</c:v>
                </c:pt>
              </c:strCache>
            </c:strRef>
          </c:tx>
          <c:invertIfNegative val="0"/>
          <c:dPt>
            <c:idx val="0"/>
            <c:invertIfNegative val="0"/>
            <c:bubble3D val="0"/>
            <c:spPr>
              <a:solidFill>
                <a:srgbClr val="5A189A"/>
              </a:solidFill>
            </c:spPr>
            <c:extLst>
              <c:ext xmlns:c16="http://schemas.microsoft.com/office/drawing/2014/chart" uri="{C3380CC4-5D6E-409C-BE32-E72D297353CC}">
                <c16:uniqueId val="{00000006-EDEE-4ABE-A772-D523C2168FB2}"/>
              </c:ext>
            </c:extLst>
          </c:dPt>
          <c:dPt>
            <c:idx val="1"/>
            <c:invertIfNegative val="0"/>
            <c:bubble3D val="0"/>
            <c:spPr>
              <a:solidFill>
                <a:srgbClr val="7B2CBF"/>
              </a:solidFill>
            </c:spPr>
            <c:extLst>
              <c:ext xmlns:c16="http://schemas.microsoft.com/office/drawing/2014/chart" uri="{C3380CC4-5D6E-409C-BE32-E72D297353CC}">
                <c16:uniqueId val="{00000007-EDEE-4ABE-A772-D523C2168FB2}"/>
              </c:ext>
            </c:extLst>
          </c:dPt>
          <c:dPt>
            <c:idx val="2"/>
            <c:invertIfNegative val="0"/>
            <c:bubble3D val="0"/>
            <c:spPr>
              <a:solidFill>
                <a:srgbClr val="9D4EDD"/>
              </a:solidFill>
            </c:spPr>
            <c:extLst>
              <c:ext xmlns:c16="http://schemas.microsoft.com/office/drawing/2014/chart" uri="{C3380CC4-5D6E-409C-BE32-E72D297353CC}">
                <c16:uniqueId val="{00000008-EDEE-4ABE-A772-D523C2168FB2}"/>
              </c:ext>
            </c:extLst>
          </c:dPt>
          <c:dPt>
            <c:idx val="3"/>
            <c:invertIfNegative val="0"/>
            <c:bubble3D val="0"/>
            <c:spPr>
              <a:solidFill>
                <a:srgbClr val="C77DFF"/>
              </a:solidFill>
            </c:spPr>
            <c:extLst>
              <c:ext xmlns:c16="http://schemas.microsoft.com/office/drawing/2014/chart" uri="{C3380CC4-5D6E-409C-BE32-E72D297353CC}">
                <c16:uniqueId val="{00000009-EDEE-4ABE-A772-D523C2168FB2}"/>
              </c:ext>
            </c:extLst>
          </c:dPt>
          <c:dPt>
            <c:idx val="4"/>
            <c:invertIfNegative val="0"/>
            <c:bubble3D val="0"/>
            <c:spPr>
              <a:solidFill>
                <a:srgbClr val="E0AAFF"/>
              </a:solidFill>
            </c:spPr>
            <c:extLst>
              <c:ext xmlns:c16="http://schemas.microsoft.com/office/drawing/2014/chart" uri="{C3380CC4-5D6E-409C-BE32-E72D297353CC}">
                <c16:uniqueId val="{0000000A-EDEE-4ABE-A772-D523C2168FB2}"/>
              </c:ext>
            </c:extLst>
          </c:dPt>
          <c:cat>
            <c:strRef>
              <c:f>'Total Employees'!$A$48:$A$53</c:f>
              <c:strCache>
                <c:ptCount val="5"/>
                <c:pt idx="0">
                  <c:v>1</c:v>
                </c:pt>
                <c:pt idx="1">
                  <c:v>2</c:v>
                </c:pt>
                <c:pt idx="2">
                  <c:v>3</c:v>
                </c:pt>
                <c:pt idx="3">
                  <c:v>4</c:v>
                </c:pt>
                <c:pt idx="4">
                  <c:v>5</c:v>
                </c:pt>
              </c:strCache>
            </c:strRef>
          </c:cat>
          <c:val>
            <c:numRef>
              <c:f>'Total Employees'!$B$48:$B$53</c:f>
              <c:numCache>
                <c:formatCode>General</c:formatCode>
                <c:ptCount val="5"/>
                <c:pt idx="0">
                  <c:v>43440</c:v>
                </c:pt>
                <c:pt idx="1">
                  <c:v>42720</c:v>
                </c:pt>
                <c:pt idx="2">
                  <c:v>17440</c:v>
                </c:pt>
                <c:pt idx="3">
                  <c:v>8480</c:v>
                </c:pt>
                <c:pt idx="4">
                  <c:v>5520</c:v>
                </c:pt>
              </c:numCache>
            </c:numRef>
          </c:val>
          <c:extLst>
            <c:ext xmlns:c16="http://schemas.microsoft.com/office/drawing/2014/chart" uri="{C3380CC4-5D6E-409C-BE32-E72D297353CC}">
              <c16:uniqueId val="{00000004-EDEE-4ABE-A772-D523C2168FB2}"/>
            </c:ext>
          </c:extLst>
        </c:ser>
        <c:dLbls>
          <c:showLegendKey val="0"/>
          <c:showVal val="0"/>
          <c:showCatName val="0"/>
          <c:showSerName val="0"/>
          <c:showPercent val="0"/>
          <c:showBubbleSize val="0"/>
        </c:dLbls>
        <c:gapWidth val="219"/>
        <c:overlap val="-27"/>
        <c:axId val="1366153072"/>
        <c:axId val="1366154032"/>
      </c:barChart>
      <c:catAx>
        <c:axId val="13661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154032"/>
        <c:crosses val="autoZero"/>
        <c:auto val="1"/>
        <c:lblAlgn val="ctr"/>
        <c:lblOffset val="100"/>
        <c:noMultiLvlLbl val="0"/>
      </c:catAx>
      <c:valAx>
        <c:axId val="136615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153072"/>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project.csv project.xlsx]Total Employees!PivotTable64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260013"/>
                </a:solidFill>
              </a:rPr>
              <a:t>Employees by Years Since Last Promotion</a:t>
            </a:r>
            <a:endParaRPr lang="en-US">
              <a:solidFill>
                <a:srgbClr val="26001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0AA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A189A"/>
          </a:solidFill>
          <a:ln>
            <a:noFill/>
          </a:ln>
          <a:effectLst/>
        </c:spPr>
      </c:pivotFmt>
      <c:pivotFmt>
        <c:idx val="4"/>
        <c:spPr>
          <a:solidFill>
            <a:srgbClr val="5A189A"/>
          </a:solidFill>
          <a:ln>
            <a:noFill/>
          </a:ln>
          <a:effectLst/>
        </c:spPr>
      </c:pivotFmt>
      <c:pivotFmt>
        <c:idx val="5"/>
        <c:spPr>
          <a:solidFill>
            <a:srgbClr val="5A189A"/>
          </a:solidFill>
          <a:ln>
            <a:noFill/>
          </a:ln>
          <a:effectLst/>
        </c:spPr>
      </c:pivotFmt>
      <c:pivotFmt>
        <c:idx val="6"/>
        <c:spPr>
          <a:solidFill>
            <a:srgbClr val="9D4EDD"/>
          </a:solidFill>
          <a:ln>
            <a:noFill/>
          </a:ln>
          <a:effectLst/>
        </c:spPr>
      </c:pivotFmt>
      <c:pivotFmt>
        <c:idx val="7"/>
        <c:spPr>
          <a:solidFill>
            <a:srgbClr val="9D4EDD"/>
          </a:solidFill>
          <a:ln>
            <a:noFill/>
          </a:ln>
          <a:effectLst/>
        </c:spPr>
      </c:pivotFmt>
      <c:pivotFmt>
        <c:idx val="8"/>
        <c:spPr>
          <a:solidFill>
            <a:srgbClr val="9D4EDD"/>
          </a:solidFill>
          <a:ln>
            <a:noFill/>
          </a:ln>
          <a:effectLst/>
        </c:spPr>
      </c:pivotFmt>
      <c:pivotFmt>
        <c:idx val="9"/>
        <c:spPr>
          <a:solidFill>
            <a:srgbClr val="9D4EDD"/>
          </a:solidFill>
          <a:ln>
            <a:noFill/>
          </a:ln>
          <a:effectLst/>
        </c:spPr>
      </c:pivotFmt>
      <c:pivotFmt>
        <c:idx val="10"/>
        <c:spPr>
          <a:solidFill>
            <a:srgbClr val="9D4EDD"/>
          </a:solidFill>
          <a:ln>
            <a:noFill/>
          </a:ln>
          <a:effectLst/>
        </c:spPr>
      </c:pivotFmt>
      <c:pivotFmt>
        <c:idx val="11"/>
        <c:spPr>
          <a:solidFill>
            <a:srgbClr val="9D4EDD"/>
          </a:solidFill>
          <a:ln>
            <a:noFill/>
          </a:ln>
          <a:effectLst/>
        </c:spPr>
      </c:pivotFmt>
      <c:pivotFmt>
        <c:idx val="12"/>
        <c:spPr>
          <a:solidFill>
            <a:srgbClr val="C77DFF"/>
          </a:solidFill>
          <a:ln>
            <a:noFill/>
          </a:ln>
          <a:effectLst/>
        </c:spPr>
      </c:pivotFmt>
      <c:pivotFmt>
        <c:idx val="13"/>
        <c:spPr>
          <a:solidFill>
            <a:srgbClr val="C77DFF"/>
          </a:solidFill>
          <a:ln>
            <a:noFill/>
          </a:ln>
          <a:effectLst/>
        </c:spPr>
      </c:pivotFmt>
      <c:pivotFmt>
        <c:idx val="14"/>
        <c:spPr>
          <a:solidFill>
            <a:srgbClr val="C77DFF"/>
          </a:solidFill>
          <a:ln>
            <a:noFill/>
          </a:ln>
          <a:effectLst/>
        </c:spPr>
      </c:pivotFmt>
    </c:pivotFmts>
    <c:plotArea>
      <c:layout>
        <c:manualLayout>
          <c:layoutTarget val="inner"/>
          <c:xMode val="edge"/>
          <c:yMode val="edge"/>
          <c:x val="8.0951606255829589E-2"/>
          <c:y val="0.2636587771203156"/>
          <c:w val="0.86567373809678749"/>
          <c:h val="0.63024274332572339"/>
        </c:manualLayout>
      </c:layout>
      <c:barChart>
        <c:barDir val="bar"/>
        <c:grouping val="clustered"/>
        <c:varyColors val="0"/>
        <c:ser>
          <c:idx val="0"/>
          <c:order val="0"/>
          <c:tx>
            <c:strRef>
              <c:f>'Total Employees'!$B$63</c:f>
              <c:strCache>
                <c:ptCount val="1"/>
                <c:pt idx="0">
                  <c:v>Total</c:v>
                </c:pt>
              </c:strCache>
            </c:strRef>
          </c:tx>
          <c:spPr>
            <a:solidFill>
              <a:srgbClr val="E0AAFF"/>
            </a:solidFill>
            <a:ln>
              <a:noFill/>
            </a:ln>
            <a:effectLst/>
          </c:spPr>
          <c:invertIfNegative val="0"/>
          <c:dPt>
            <c:idx val="0"/>
            <c:invertIfNegative val="0"/>
            <c:bubble3D val="0"/>
            <c:spPr>
              <a:solidFill>
                <a:srgbClr val="C77DFF"/>
              </a:solidFill>
              <a:ln>
                <a:noFill/>
              </a:ln>
              <a:effectLst/>
            </c:spPr>
          </c:dPt>
          <c:dPt>
            <c:idx val="2"/>
            <c:invertIfNegative val="0"/>
            <c:bubble3D val="0"/>
            <c:spPr>
              <a:solidFill>
                <a:srgbClr val="9D4EDD"/>
              </a:solidFill>
              <a:ln>
                <a:noFill/>
              </a:ln>
              <a:effectLst/>
            </c:spPr>
          </c:dPt>
          <c:dPt>
            <c:idx val="6"/>
            <c:invertIfNegative val="0"/>
            <c:bubble3D val="0"/>
            <c:spPr>
              <a:solidFill>
                <a:srgbClr val="C77DFF"/>
              </a:solidFill>
              <a:ln>
                <a:noFill/>
              </a:ln>
              <a:effectLst/>
            </c:spPr>
            <c:extLst>
              <c:ext xmlns:c16="http://schemas.microsoft.com/office/drawing/2014/chart" uri="{C3380CC4-5D6E-409C-BE32-E72D297353CC}">
                <c16:uniqueId val="{00000009-E6F0-431A-9630-E33C33668D14}"/>
              </c:ext>
            </c:extLst>
          </c:dPt>
          <c:dPt>
            <c:idx val="7"/>
            <c:invertIfNegative val="0"/>
            <c:bubble3D val="0"/>
            <c:spPr>
              <a:solidFill>
                <a:srgbClr val="C77DFF"/>
              </a:solidFill>
              <a:ln>
                <a:noFill/>
              </a:ln>
              <a:effectLst/>
            </c:spPr>
            <c:extLst>
              <c:ext xmlns:c16="http://schemas.microsoft.com/office/drawing/2014/chart" uri="{C3380CC4-5D6E-409C-BE32-E72D297353CC}">
                <c16:uniqueId val="{00000008-E6F0-431A-9630-E33C33668D14}"/>
              </c:ext>
            </c:extLst>
          </c:dPt>
          <c:dPt>
            <c:idx val="8"/>
            <c:invertIfNegative val="0"/>
            <c:bubble3D val="0"/>
            <c:spPr>
              <a:solidFill>
                <a:srgbClr val="9D4EDD"/>
              </a:solidFill>
              <a:ln>
                <a:noFill/>
              </a:ln>
              <a:effectLst/>
            </c:spPr>
            <c:extLst>
              <c:ext xmlns:c16="http://schemas.microsoft.com/office/drawing/2014/chart" uri="{C3380CC4-5D6E-409C-BE32-E72D297353CC}">
                <c16:uniqueId val="{00000007-E6F0-431A-9630-E33C33668D14}"/>
              </c:ext>
            </c:extLst>
          </c:dPt>
          <c:dPt>
            <c:idx val="9"/>
            <c:invertIfNegative val="0"/>
            <c:bubble3D val="0"/>
            <c:spPr>
              <a:solidFill>
                <a:srgbClr val="9D4EDD"/>
              </a:solidFill>
              <a:ln>
                <a:noFill/>
              </a:ln>
              <a:effectLst/>
            </c:spPr>
            <c:extLst>
              <c:ext xmlns:c16="http://schemas.microsoft.com/office/drawing/2014/chart" uri="{C3380CC4-5D6E-409C-BE32-E72D297353CC}">
                <c16:uniqueId val="{00000006-E6F0-431A-9630-E33C33668D14}"/>
              </c:ext>
            </c:extLst>
          </c:dPt>
          <c:dPt>
            <c:idx val="10"/>
            <c:invertIfNegative val="0"/>
            <c:bubble3D val="0"/>
            <c:spPr>
              <a:solidFill>
                <a:srgbClr val="9D4EDD"/>
              </a:solidFill>
              <a:ln>
                <a:noFill/>
              </a:ln>
              <a:effectLst/>
            </c:spPr>
            <c:extLst>
              <c:ext xmlns:c16="http://schemas.microsoft.com/office/drawing/2014/chart" uri="{C3380CC4-5D6E-409C-BE32-E72D297353CC}">
                <c16:uniqueId val="{00000005-E6F0-431A-9630-E33C33668D14}"/>
              </c:ext>
            </c:extLst>
          </c:dPt>
          <c:dPt>
            <c:idx val="11"/>
            <c:invertIfNegative val="0"/>
            <c:bubble3D val="0"/>
            <c:spPr>
              <a:solidFill>
                <a:srgbClr val="9D4EDD"/>
              </a:solidFill>
              <a:ln>
                <a:noFill/>
              </a:ln>
              <a:effectLst/>
            </c:spPr>
            <c:extLst>
              <c:ext xmlns:c16="http://schemas.microsoft.com/office/drawing/2014/chart" uri="{C3380CC4-5D6E-409C-BE32-E72D297353CC}">
                <c16:uniqueId val="{00000004-E6F0-431A-9630-E33C33668D14}"/>
              </c:ext>
            </c:extLst>
          </c:dPt>
          <c:dPt>
            <c:idx val="12"/>
            <c:invertIfNegative val="0"/>
            <c:bubble3D val="0"/>
            <c:spPr>
              <a:solidFill>
                <a:srgbClr val="9D4EDD"/>
              </a:solidFill>
              <a:ln>
                <a:noFill/>
              </a:ln>
              <a:effectLst/>
            </c:spPr>
            <c:extLst>
              <c:ext xmlns:c16="http://schemas.microsoft.com/office/drawing/2014/chart" uri="{C3380CC4-5D6E-409C-BE32-E72D297353CC}">
                <c16:uniqueId val="{00000003-E6F0-431A-9630-E33C33668D14}"/>
              </c:ext>
            </c:extLst>
          </c:dPt>
          <c:dPt>
            <c:idx val="13"/>
            <c:invertIfNegative val="0"/>
            <c:bubble3D val="0"/>
            <c:spPr>
              <a:solidFill>
                <a:srgbClr val="5A189A"/>
              </a:solidFill>
              <a:ln>
                <a:noFill/>
              </a:ln>
              <a:effectLst/>
            </c:spPr>
            <c:extLst>
              <c:ext xmlns:c16="http://schemas.microsoft.com/office/drawing/2014/chart" uri="{C3380CC4-5D6E-409C-BE32-E72D297353CC}">
                <c16:uniqueId val="{00000002-E6F0-431A-9630-E33C33668D14}"/>
              </c:ext>
            </c:extLst>
          </c:dPt>
          <c:dPt>
            <c:idx val="14"/>
            <c:invertIfNegative val="0"/>
            <c:bubble3D val="0"/>
            <c:spPr>
              <a:solidFill>
                <a:srgbClr val="5A189A"/>
              </a:solidFill>
              <a:ln>
                <a:noFill/>
              </a:ln>
              <a:effectLst/>
            </c:spPr>
            <c:extLst>
              <c:ext xmlns:c16="http://schemas.microsoft.com/office/drawing/2014/chart" uri="{C3380CC4-5D6E-409C-BE32-E72D297353CC}">
                <c16:uniqueId val="{00000001-E6F0-431A-9630-E33C33668D14}"/>
              </c:ext>
            </c:extLst>
          </c:dPt>
          <c:dPt>
            <c:idx val="15"/>
            <c:invertIfNegative val="0"/>
            <c:bubble3D val="0"/>
            <c:spPr>
              <a:solidFill>
                <a:srgbClr val="5A189A"/>
              </a:solidFill>
              <a:ln>
                <a:noFill/>
              </a:ln>
              <a:effectLst/>
            </c:spPr>
          </c:dPt>
          <c:cat>
            <c:strRef>
              <c:f>'Total Employees'!$A$64:$A$80</c:f>
              <c:strCache>
                <c:ptCount val="16"/>
                <c:pt idx="0">
                  <c:v>10</c:v>
                </c:pt>
                <c:pt idx="1">
                  <c:v>14</c:v>
                </c:pt>
                <c:pt idx="2">
                  <c:v>12</c:v>
                </c:pt>
                <c:pt idx="3">
                  <c:v>13</c:v>
                </c:pt>
                <c:pt idx="4">
                  <c:v>15</c:v>
                </c:pt>
                <c:pt idx="5">
                  <c:v>9</c:v>
                </c:pt>
                <c:pt idx="6">
                  <c:v>8</c:v>
                </c:pt>
                <c:pt idx="7">
                  <c:v>11</c:v>
                </c:pt>
                <c:pt idx="8">
                  <c:v>6</c:v>
                </c:pt>
                <c:pt idx="9">
                  <c:v>5</c:v>
                </c:pt>
                <c:pt idx="10">
                  <c:v>3</c:v>
                </c:pt>
                <c:pt idx="11">
                  <c:v>4</c:v>
                </c:pt>
                <c:pt idx="12">
                  <c:v>7</c:v>
                </c:pt>
                <c:pt idx="13">
                  <c:v>2</c:v>
                </c:pt>
                <c:pt idx="14">
                  <c:v>1</c:v>
                </c:pt>
                <c:pt idx="15">
                  <c:v>0</c:v>
                </c:pt>
              </c:strCache>
            </c:strRef>
          </c:cat>
          <c:val>
            <c:numRef>
              <c:f>'Total Employees'!$B$64:$B$80</c:f>
              <c:numCache>
                <c:formatCode>General</c:formatCode>
                <c:ptCount val="16"/>
                <c:pt idx="0">
                  <c:v>6</c:v>
                </c:pt>
                <c:pt idx="1">
                  <c:v>9</c:v>
                </c:pt>
                <c:pt idx="2">
                  <c:v>10</c:v>
                </c:pt>
                <c:pt idx="3">
                  <c:v>10</c:v>
                </c:pt>
                <c:pt idx="4">
                  <c:v>13</c:v>
                </c:pt>
                <c:pt idx="5">
                  <c:v>17</c:v>
                </c:pt>
                <c:pt idx="6">
                  <c:v>18</c:v>
                </c:pt>
                <c:pt idx="7">
                  <c:v>24</c:v>
                </c:pt>
                <c:pt idx="8">
                  <c:v>32</c:v>
                </c:pt>
                <c:pt idx="9">
                  <c:v>45</c:v>
                </c:pt>
                <c:pt idx="10">
                  <c:v>52</c:v>
                </c:pt>
                <c:pt idx="11">
                  <c:v>61</c:v>
                </c:pt>
                <c:pt idx="12">
                  <c:v>76</c:v>
                </c:pt>
                <c:pt idx="13">
                  <c:v>159</c:v>
                </c:pt>
                <c:pt idx="14">
                  <c:v>357</c:v>
                </c:pt>
                <c:pt idx="15">
                  <c:v>581</c:v>
                </c:pt>
              </c:numCache>
            </c:numRef>
          </c:val>
          <c:extLst>
            <c:ext xmlns:c16="http://schemas.microsoft.com/office/drawing/2014/chart" uri="{C3380CC4-5D6E-409C-BE32-E72D297353CC}">
              <c16:uniqueId val="{00000000-E6F0-431A-9630-E33C33668D14}"/>
            </c:ext>
          </c:extLst>
        </c:ser>
        <c:dLbls>
          <c:showLegendKey val="0"/>
          <c:showVal val="0"/>
          <c:showCatName val="0"/>
          <c:showSerName val="0"/>
          <c:showPercent val="0"/>
          <c:showBubbleSize val="0"/>
        </c:dLbls>
        <c:gapWidth val="182"/>
        <c:axId val="1580182960"/>
        <c:axId val="1580180560"/>
      </c:barChart>
      <c:catAx>
        <c:axId val="158018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80560"/>
        <c:crosses val="autoZero"/>
        <c:auto val="1"/>
        <c:lblAlgn val="ctr"/>
        <c:lblOffset val="100"/>
        <c:noMultiLvlLbl val="0"/>
      </c:catAx>
      <c:valAx>
        <c:axId val="158018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8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project.csv project.xlsx]Total Employees!PivotTable67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60013"/>
                </a:solidFill>
              </a:rPr>
              <a:t>Average Salary Hike</a:t>
            </a:r>
          </a:p>
        </c:rich>
      </c:tx>
      <c:layout>
        <c:manualLayout>
          <c:xMode val="edge"/>
          <c:yMode val="edge"/>
          <c:x val="0.24135889917525996"/>
          <c:y val="5.1813471502590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18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B2CBF"/>
          </a:solidFill>
          <a:ln>
            <a:noFill/>
          </a:ln>
          <a:effectLst/>
        </c:spPr>
      </c:pivotFmt>
      <c:pivotFmt>
        <c:idx val="4"/>
        <c:spPr>
          <a:solidFill>
            <a:srgbClr val="9D4EDD"/>
          </a:solidFill>
          <a:ln>
            <a:noFill/>
          </a:ln>
          <a:effectLst/>
        </c:spPr>
      </c:pivotFmt>
    </c:pivotFmts>
    <c:plotArea>
      <c:layout/>
      <c:barChart>
        <c:barDir val="bar"/>
        <c:grouping val="clustered"/>
        <c:varyColors val="0"/>
        <c:ser>
          <c:idx val="0"/>
          <c:order val="0"/>
          <c:tx>
            <c:strRef>
              <c:f>'Total Employees'!$B$82</c:f>
              <c:strCache>
                <c:ptCount val="1"/>
                <c:pt idx="0">
                  <c:v>Total</c:v>
                </c:pt>
              </c:strCache>
            </c:strRef>
          </c:tx>
          <c:spPr>
            <a:solidFill>
              <a:srgbClr val="5A189A"/>
            </a:solidFill>
            <a:ln>
              <a:noFill/>
            </a:ln>
            <a:effectLst/>
          </c:spPr>
          <c:invertIfNegative val="0"/>
          <c:dPt>
            <c:idx val="0"/>
            <c:invertIfNegative val="0"/>
            <c:bubble3D val="0"/>
            <c:spPr>
              <a:solidFill>
                <a:srgbClr val="9D4EDD"/>
              </a:solidFill>
              <a:ln>
                <a:noFill/>
              </a:ln>
              <a:effectLst/>
            </c:spPr>
            <c:extLst>
              <c:ext xmlns:c16="http://schemas.microsoft.com/office/drawing/2014/chart" uri="{C3380CC4-5D6E-409C-BE32-E72D297353CC}">
                <c16:uniqueId val="{00000002-9D7A-4881-94AA-FC81B0ADFB68}"/>
              </c:ext>
            </c:extLst>
          </c:dPt>
          <c:dPt>
            <c:idx val="1"/>
            <c:invertIfNegative val="0"/>
            <c:bubble3D val="0"/>
            <c:spPr>
              <a:solidFill>
                <a:srgbClr val="7B2CBF"/>
              </a:solidFill>
              <a:ln>
                <a:noFill/>
              </a:ln>
              <a:effectLst/>
            </c:spPr>
            <c:extLst>
              <c:ext xmlns:c16="http://schemas.microsoft.com/office/drawing/2014/chart" uri="{C3380CC4-5D6E-409C-BE32-E72D297353CC}">
                <c16:uniqueId val="{00000001-9D7A-4881-94AA-FC81B0ADFB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Employees'!$A$83:$A$86</c:f>
              <c:strCache>
                <c:ptCount val="3"/>
                <c:pt idx="0">
                  <c:v>Human Resources</c:v>
                </c:pt>
                <c:pt idx="1">
                  <c:v>Sales</c:v>
                </c:pt>
                <c:pt idx="2">
                  <c:v>Research &amp; Development</c:v>
                </c:pt>
              </c:strCache>
            </c:strRef>
          </c:cat>
          <c:val>
            <c:numRef>
              <c:f>'Total Employees'!$B$83:$B$86</c:f>
              <c:numCache>
                <c:formatCode>0.00</c:formatCode>
                <c:ptCount val="3"/>
                <c:pt idx="0">
                  <c:v>14.761904761904763</c:v>
                </c:pt>
                <c:pt idx="1">
                  <c:v>15.096412556053812</c:v>
                </c:pt>
                <c:pt idx="2">
                  <c:v>15.291363163371487</c:v>
                </c:pt>
              </c:numCache>
            </c:numRef>
          </c:val>
          <c:extLst>
            <c:ext xmlns:c16="http://schemas.microsoft.com/office/drawing/2014/chart" uri="{C3380CC4-5D6E-409C-BE32-E72D297353CC}">
              <c16:uniqueId val="{00000000-9D7A-4881-94AA-FC81B0ADFB68}"/>
            </c:ext>
          </c:extLst>
        </c:ser>
        <c:dLbls>
          <c:dLblPos val="outEnd"/>
          <c:showLegendKey val="0"/>
          <c:showVal val="1"/>
          <c:showCatName val="0"/>
          <c:showSerName val="0"/>
          <c:showPercent val="0"/>
          <c:showBubbleSize val="0"/>
        </c:dLbls>
        <c:gapWidth val="50"/>
        <c:axId val="1774105568"/>
        <c:axId val="1774108928"/>
      </c:barChart>
      <c:catAx>
        <c:axId val="177410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74108928"/>
        <c:crosses val="autoZero"/>
        <c:auto val="1"/>
        <c:lblAlgn val="ctr"/>
        <c:lblOffset val="100"/>
        <c:noMultiLvlLbl val="0"/>
      </c:catAx>
      <c:valAx>
        <c:axId val="1774108928"/>
        <c:scaling>
          <c:orientation val="minMax"/>
        </c:scaling>
        <c:delete val="1"/>
        <c:axPos val="b"/>
        <c:numFmt formatCode="0.00" sourceLinked="1"/>
        <c:majorTickMark val="none"/>
        <c:minorTickMark val="none"/>
        <c:tickLblPos val="nextTo"/>
        <c:crossAx val="177410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project.csv project.xlsx]Total Employees!PivotTable68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260013"/>
                </a:solidFill>
              </a:rPr>
              <a:t>Business Travel Distribution</a:t>
            </a:r>
            <a:endParaRPr lang="en-US" b="1">
              <a:solidFill>
                <a:srgbClr val="26001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A189A"/>
          </a:solidFill>
          <a:ln>
            <a:noFill/>
          </a:ln>
          <a:effectLst/>
        </c:spPr>
      </c:pivotFmt>
      <c:pivotFmt>
        <c:idx val="4"/>
        <c:spPr>
          <a:solidFill>
            <a:srgbClr val="7B2CBF"/>
          </a:solidFill>
          <a:ln>
            <a:noFill/>
          </a:ln>
          <a:effectLst/>
        </c:spPr>
      </c:pivotFmt>
      <c:pivotFmt>
        <c:idx val="5"/>
        <c:spPr>
          <a:solidFill>
            <a:srgbClr val="9D4EDD"/>
          </a:solidFill>
          <a:ln>
            <a:noFill/>
          </a:ln>
          <a:effectLst/>
        </c:spPr>
      </c:pivotFmt>
    </c:pivotFmts>
    <c:plotArea>
      <c:layout/>
      <c:barChart>
        <c:barDir val="col"/>
        <c:grouping val="clustered"/>
        <c:varyColors val="0"/>
        <c:ser>
          <c:idx val="0"/>
          <c:order val="0"/>
          <c:tx>
            <c:strRef>
              <c:f>'Total Employees'!$B$93</c:f>
              <c:strCache>
                <c:ptCount val="1"/>
                <c:pt idx="0">
                  <c:v>Total</c:v>
                </c:pt>
              </c:strCache>
            </c:strRef>
          </c:tx>
          <c:spPr>
            <a:solidFill>
              <a:schemeClr val="accent1"/>
            </a:solidFill>
            <a:ln>
              <a:noFill/>
            </a:ln>
            <a:effectLst/>
          </c:spPr>
          <c:invertIfNegative val="0"/>
          <c:dPt>
            <c:idx val="0"/>
            <c:invertIfNegative val="0"/>
            <c:bubble3D val="0"/>
            <c:spPr>
              <a:solidFill>
                <a:srgbClr val="5A189A"/>
              </a:solidFill>
              <a:ln>
                <a:noFill/>
              </a:ln>
              <a:effectLst/>
            </c:spPr>
            <c:extLst>
              <c:ext xmlns:c16="http://schemas.microsoft.com/office/drawing/2014/chart" uri="{C3380CC4-5D6E-409C-BE32-E72D297353CC}">
                <c16:uniqueId val="{00000001-393B-4274-8181-F7C813871AB9}"/>
              </c:ext>
            </c:extLst>
          </c:dPt>
          <c:dPt>
            <c:idx val="1"/>
            <c:invertIfNegative val="0"/>
            <c:bubble3D val="0"/>
            <c:spPr>
              <a:solidFill>
                <a:srgbClr val="7B2CBF"/>
              </a:solidFill>
              <a:ln>
                <a:noFill/>
              </a:ln>
              <a:effectLst/>
            </c:spPr>
            <c:extLst>
              <c:ext xmlns:c16="http://schemas.microsoft.com/office/drawing/2014/chart" uri="{C3380CC4-5D6E-409C-BE32-E72D297353CC}">
                <c16:uniqueId val="{00000002-393B-4274-8181-F7C813871AB9}"/>
              </c:ext>
            </c:extLst>
          </c:dPt>
          <c:dPt>
            <c:idx val="2"/>
            <c:invertIfNegative val="0"/>
            <c:bubble3D val="0"/>
            <c:spPr>
              <a:solidFill>
                <a:srgbClr val="9D4EDD"/>
              </a:solidFill>
              <a:ln>
                <a:noFill/>
              </a:ln>
              <a:effectLst/>
            </c:spPr>
            <c:extLst>
              <c:ext xmlns:c16="http://schemas.microsoft.com/office/drawing/2014/chart" uri="{C3380CC4-5D6E-409C-BE32-E72D297353CC}">
                <c16:uniqueId val="{00000003-393B-4274-8181-F7C813871A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Employees'!$A$94:$A$97</c:f>
              <c:strCache>
                <c:ptCount val="3"/>
                <c:pt idx="0">
                  <c:v>Travel_Rarely</c:v>
                </c:pt>
                <c:pt idx="1">
                  <c:v>Travel_Frequently</c:v>
                </c:pt>
                <c:pt idx="2">
                  <c:v>Non-Travel</c:v>
                </c:pt>
              </c:strCache>
            </c:strRef>
          </c:cat>
          <c:val>
            <c:numRef>
              <c:f>'Total Employees'!$B$94:$B$97</c:f>
              <c:numCache>
                <c:formatCode>General</c:formatCode>
                <c:ptCount val="3"/>
                <c:pt idx="0">
                  <c:v>1043</c:v>
                </c:pt>
                <c:pt idx="1">
                  <c:v>277</c:v>
                </c:pt>
                <c:pt idx="2">
                  <c:v>150</c:v>
                </c:pt>
              </c:numCache>
            </c:numRef>
          </c:val>
          <c:extLst>
            <c:ext xmlns:c16="http://schemas.microsoft.com/office/drawing/2014/chart" uri="{C3380CC4-5D6E-409C-BE32-E72D297353CC}">
              <c16:uniqueId val="{00000000-393B-4274-8181-F7C813871AB9}"/>
            </c:ext>
          </c:extLst>
        </c:ser>
        <c:dLbls>
          <c:dLblPos val="outEnd"/>
          <c:showLegendKey val="0"/>
          <c:showVal val="1"/>
          <c:showCatName val="0"/>
          <c:showSerName val="0"/>
          <c:showPercent val="0"/>
          <c:showBubbleSize val="0"/>
        </c:dLbls>
        <c:gapWidth val="100"/>
        <c:overlap val="-27"/>
        <c:axId val="1553742960"/>
        <c:axId val="1553741040"/>
      </c:barChart>
      <c:catAx>
        <c:axId val="155374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41040"/>
        <c:crosses val="autoZero"/>
        <c:auto val="0"/>
        <c:lblAlgn val="ctr"/>
        <c:lblOffset val="100"/>
        <c:noMultiLvlLbl val="0"/>
      </c:catAx>
      <c:valAx>
        <c:axId val="1553741040"/>
        <c:scaling>
          <c:orientation val="minMax"/>
        </c:scaling>
        <c:delete val="1"/>
        <c:axPos val="l"/>
        <c:numFmt formatCode="General" sourceLinked="1"/>
        <c:majorTickMark val="none"/>
        <c:minorTickMark val="none"/>
        <c:tickLblPos val="nextTo"/>
        <c:crossAx val="155374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project.csv project.xlsx]Total Employees!PivotTable49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Monthly Income by Job Level </a:t>
            </a:r>
            <a:endParaRPr lang="en-IN" b="1">
              <a:solidFill>
                <a:schemeClr val="tx1"/>
              </a:solidFill>
            </a:endParaRPr>
          </a:p>
        </c:rich>
      </c:tx>
      <c:layout>
        <c:manualLayout>
          <c:xMode val="edge"/>
          <c:yMode val="edge"/>
          <c:x val="0.16810997737708822"/>
          <c:y val="3.4619188921859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rgbClr val="E0AAFF"/>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0AAFF"/>
          </a:solidFill>
          <a:ln w="25400">
            <a:solidFill>
              <a:schemeClr val="lt1"/>
            </a:solidFill>
          </a:ln>
          <a:effectLst/>
          <a:sp3d contourW="25400">
            <a:contourClr>
              <a:schemeClr val="lt1"/>
            </a:contourClr>
          </a:sp3d>
        </c:spPr>
      </c:pivotFmt>
      <c:pivotFmt>
        <c:idx val="7"/>
        <c:spPr>
          <a:solidFill>
            <a:srgbClr val="5A189A"/>
          </a:solidFill>
          <a:ln w="25400">
            <a:solidFill>
              <a:schemeClr val="lt1"/>
            </a:solidFill>
          </a:ln>
          <a:effectLst/>
          <a:sp3d contourW="25400">
            <a:contourClr>
              <a:schemeClr val="lt1"/>
            </a:contourClr>
          </a:sp3d>
        </c:spPr>
      </c:pivotFmt>
      <c:pivotFmt>
        <c:idx val="8"/>
        <c:spPr>
          <a:solidFill>
            <a:srgbClr val="9D4EDD"/>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A189A"/>
          </a:solidFill>
          <a:ln w="25400">
            <a:solidFill>
              <a:schemeClr val="lt1"/>
            </a:solidFill>
          </a:ln>
          <a:effectLst/>
          <a:sp3d contourW="25400">
            <a:contourClr>
              <a:schemeClr val="lt1"/>
            </a:contourClr>
          </a:sp3d>
        </c:spPr>
      </c:pivotFmt>
      <c:pivotFmt>
        <c:idx val="11"/>
        <c:spPr>
          <a:solidFill>
            <a:srgbClr val="D17DCB"/>
          </a:solidFill>
          <a:ln w="25400">
            <a:solidFill>
              <a:schemeClr val="lt1"/>
            </a:solidFill>
          </a:ln>
          <a:effectLst/>
          <a:sp3d contourW="25400">
            <a:contourClr>
              <a:schemeClr val="lt1"/>
            </a:contourClr>
          </a:sp3d>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B2CBF"/>
          </a:solidFill>
          <a:ln w="19050">
            <a:solidFill>
              <a:schemeClr val="lt1"/>
            </a:solidFill>
          </a:ln>
          <a:effectLst/>
        </c:spPr>
      </c:pivotFmt>
      <c:pivotFmt>
        <c:idx val="14"/>
        <c:spPr>
          <a:solidFill>
            <a:srgbClr val="5A189A"/>
          </a:solidFill>
          <a:ln w="19050">
            <a:solidFill>
              <a:schemeClr val="lt1"/>
            </a:solidFill>
          </a:ln>
          <a:effectLst/>
        </c:spPr>
      </c:pivotFmt>
      <c:pivotFmt>
        <c:idx val="15"/>
        <c:spPr>
          <a:solidFill>
            <a:srgbClr val="C77DFF"/>
          </a:solidFill>
          <a:ln w="19050">
            <a:solidFill>
              <a:schemeClr val="lt1"/>
            </a:solidFill>
          </a:ln>
          <a:effectLst/>
        </c:spPr>
      </c:pivotFmt>
      <c:pivotFmt>
        <c:idx val="16"/>
        <c:spPr>
          <a:solidFill>
            <a:srgbClr val="E0AAFF"/>
          </a:solidFill>
          <a:ln w="19050">
            <a:solidFill>
              <a:schemeClr val="lt1"/>
            </a:solidFill>
          </a:ln>
          <a:effectLst/>
        </c:spPr>
      </c:pivotFmt>
      <c:pivotFmt>
        <c:idx val="17"/>
        <c:spPr>
          <a:solidFill>
            <a:srgbClr val="9D4EDD"/>
          </a:solidFill>
          <a:ln w="19050">
            <a:solidFill>
              <a:schemeClr val="lt1"/>
            </a:solidFill>
          </a:ln>
          <a:effectLst/>
        </c:spPr>
      </c:pivotFmt>
    </c:pivotFmts>
    <c:plotArea>
      <c:layout>
        <c:manualLayout>
          <c:layoutTarget val="inner"/>
          <c:xMode val="edge"/>
          <c:yMode val="edge"/>
          <c:x val="6.2737424094177582E-2"/>
          <c:y val="0.23477651346994094"/>
          <c:w val="0.8013724188090946"/>
          <c:h val="0.65803786361024397"/>
        </c:manualLayout>
      </c:layout>
      <c:barChart>
        <c:barDir val="bar"/>
        <c:grouping val="clustered"/>
        <c:varyColors val="0"/>
        <c:ser>
          <c:idx val="0"/>
          <c:order val="0"/>
          <c:tx>
            <c:strRef>
              <c:f>'Total Employees'!$B$36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E0AAFF"/>
              </a:solidFill>
              <a:ln w="19050">
                <a:solidFill>
                  <a:schemeClr val="lt1"/>
                </a:solidFill>
              </a:ln>
              <a:effectLst/>
            </c:spPr>
            <c:extLst>
              <c:ext xmlns:c16="http://schemas.microsoft.com/office/drawing/2014/chart" uri="{C3380CC4-5D6E-409C-BE32-E72D297353CC}">
                <c16:uniqueId val="{00000009-6FAC-4628-A939-78A29E9DAAAF}"/>
              </c:ext>
            </c:extLst>
          </c:dPt>
          <c:dPt>
            <c:idx val="1"/>
            <c:invertIfNegative val="0"/>
            <c:bubble3D val="0"/>
            <c:spPr>
              <a:solidFill>
                <a:srgbClr val="C77DFF"/>
              </a:solidFill>
              <a:ln w="19050">
                <a:solidFill>
                  <a:schemeClr val="lt1"/>
                </a:solidFill>
              </a:ln>
              <a:effectLst/>
            </c:spPr>
            <c:extLst>
              <c:ext xmlns:c16="http://schemas.microsoft.com/office/drawing/2014/chart" uri="{C3380CC4-5D6E-409C-BE32-E72D297353CC}">
                <c16:uniqueId val="{0000000A-6FAC-4628-A939-78A29E9DAAAF}"/>
              </c:ext>
            </c:extLst>
          </c:dPt>
          <c:dPt>
            <c:idx val="2"/>
            <c:invertIfNegative val="0"/>
            <c:bubble3D val="0"/>
            <c:spPr>
              <a:solidFill>
                <a:srgbClr val="9D4EDD"/>
              </a:solidFill>
              <a:ln w="19050">
                <a:solidFill>
                  <a:schemeClr val="lt1"/>
                </a:solidFill>
              </a:ln>
              <a:effectLst/>
            </c:spPr>
            <c:extLst>
              <c:ext xmlns:c16="http://schemas.microsoft.com/office/drawing/2014/chart" uri="{C3380CC4-5D6E-409C-BE32-E72D297353CC}">
                <c16:uniqueId val="{0000000E-6FAC-4628-A939-78A29E9DAAAF}"/>
              </c:ext>
            </c:extLst>
          </c:dPt>
          <c:dPt>
            <c:idx val="3"/>
            <c:invertIfNegative val="0"/>
            <c:bubble3D val="0"/>
            <c:spPr>
              <a:solidFill>
                <a:srgbClr val="7B2CBF"/>
              </a:solidFill>
              <a:ln w="19050">
                <a:solidFill>
                  <a:schemeClr val="lt1"/>
                </a:solidFill>
              </a:ln>
              <a:effectLst/>
            </c:spPr>
            <c:extLst>
              <c:ext xmlns:c16="http://schemas.microsoft.com/office/drawing/2014/chart" uri="{C3380CC4-5D6E-409C-BE32-E72D297353CC}">
                <c16:uniqueId val="{0000000C-6FAC-4628-A939-78A29E9DAAAF}"/>
              </c:ext>
            </c:extLst>
          </c:dPt>
          <c:dPt>
            <c:idx val="4"/>
            <c:invertIfNegative val="0"/>
            <c:bubble3D val="0"/>
            <c:spPr>
              <a:solidFill>
                <a:srgbClr val="5A189A"/>
              </a:solidFill>
              <a:ln w="19050">
                <a:solidFill>
                  <a:schemeClr val="lt1"/>
                </a:solidFill>
              </a:ln>
              <a:effectLst/>
            </c:spPr>
            <c:extLst>
              <c:ext xmlns:c16="http://schemas.microsoft.com/office/drawing/2014/chart" uri="{C3380CC4-5D6E-409C-BE32-E72D297353CC}">
                <c16:uniqueId val="{0000000D-6FAC-4628-A939-78A29E9DAAAF}"/>
              </c:ext>
            </c:extLst>
          </c:dPt>
          <c:cat>
            <c:strRef>
              <c:f>'Total Employees'!$A$37:$A$42</c:f>
              <c:strCache>
                <c:ptCount val="5"/>
                <c:pt idx="0">
                  <c:v>1</c:v>
                </c:pt>
                <c:pt idx="1">
                  <c:v>2</c:v>
                </c:pt>
                <c:pt idx="2">
                  <c:v>3</c:v>
                </c:pt>
                <c:pt idx="3">
                  <c:v>4</c:v>
                </c:pt>
                <c:pt idx="4">
                  <c:v>5</c:v>
                </c:pt>
              </c:strCache>
            </c:strRef>
          </c:cat>
          <c:val>
            <c:numRef>
              <c:f>'Total Employees'!$B$37:$B$42</c:f>
              <c:numCache>
                <c:formatCode>General</c:formatCode>
                <c:ptCount val="5"/>
                <c:pt idx="0">
                  <c:v>2786.9152854511972</c:v>
                </c:pt>
                <c:pt idx="1">
                  <c:v>5502.2771535580523</c:v>
                </c:pt>
                <c:pt idx="2">
                  <c:v>9817.2522935779816</c:v>
                </c:pt>
                <c:pt idx="3">
                  <c:v>15503.783018867925</c:v>
                </c:pt>
                <c:pt idx="4">
                  <c:v>19191.82608695652</c:v>
                </c:pt>
              </c:numCache>
            </c:numRef>
          </c:val>
          <c:extLst>
            <c:ext xmlns:c16="http://schemas.microsoft.com/office/drawing/2014/chart" uri="{C3380CC4-5D6E-409C-BE32-E72D297353CC}">
              <c16:uniqueId val="{00000007-6FAC-4628-A939-78A29E9DAAAF}"/>
            </c:ext>
          </c:extLst>
        </c:ser>
        <c:dLbls>
          <c:showLegendKey val="0"/>
          <c:showVal val="0"/>
          <c:showCatName val="0"/>
          <c:showSerName val="0"/>
          <c:showPercent val="0"/>
          <c:showBubbleSize val="0"/>
        </c:dLbls>
        <c:gapWidth val="100"/>
        <c:axId val="1129156928"/>
        <c:axId val="1129154528"/>
      </c:barChart>
      <c:valAx>
        <c:axId val="11291545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156928"/>
        <c:crossBetween val="between"/>
      </c:valAx>
      <c:catAx>
        <c:axId val="1129156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154528"/>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E87A-497B-94D9-118F33679C9D}"/>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E87A-497B-94D9-118F33679C9D}"/>
              </c:ext>
            </c:extLst>
          </c:dPt>
          <c:val>
            <c:numRef>
              <c:f>'Total Employees'!$C$14:$C$15</c:f>
              <c:numCache>
                <c:formatCode>0%</c:formatCode>
                <c:ptCount val="2"/>
                <c:pt idx="0">
                  <c:v>0.4</c:v>
                </c:pt>
                <c:pt idx="1">
                  <c:v>0.6</c:v>
                </c:pt>
              </c:numCache>
            </c:numRef>
          </c:val>
          <c:extLst>
            <c:ext xmlns:c16="http://schemas.microsoft.com/office/drawing/2014/chart" uri="{C3380CC4-5D6E-409C-BE32-E72D297353CC}">
              <c16:uniqueId val="{00000004-E87A-497B-94D9-118F33679C9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D17DCB"/>
              </a:solidFill>
              <a:ln w="19050">
                <a:solidFill>
                  <a:schemeClr val="lt1"/>
                </a:solidFill>
              </a:ln>
              <a:effectLst/>
            </c:spPr>
            <c:extLst>
              <c:ext xmlns:c16="http://schemas.microsoft.com/office/drawing/2014/chart" uri="{C3380CC4-5D6E-409C-BE32-E72D297353CC}">
                <c16:uniqueId val="{00000001-E919-4BED-9DE7-5312615AB049}"/>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E919-4BED-9DE7-5312615AB049}"/>
              </c:ext>
            </c:extLst>
          </c:dPt>
          <c:val>
            <c:numRef>
              <c:f>'Total Employees'!$C$14:$C$15</c:f>
              <c:numCache>
                <c:formatCode>0%</c:formatCode>
                <c:ptCount val="2"/>
                <c:pt idx="0">
                  <c:v>0.4</c:v>
                </c:pt>
                <c:pt idx="1">
                  <c:v>0.6</c:v>
                </c:pt>
              </c:numCache>
            </c:numRef>
          </c:val>
          <c:extLst>
            <c:ext xmlns:c16="http://schemas.microsoft.com/office/drawing/2014/chart" uri="{C3380CC4-5D6E-409C-BE32-E72D297353CC}">
              <c16:uniqueId val="{00000004-E919-4BED-9DE7-5312615AB04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9.xml"/><Relationship Id="rId21" Type="http://schemas.openxmlformats.org/officeDocument/2006/relationships/image" Target="../media/image14.png"/><Relationship Id="rId7" Type="http://schemas.openxmlformats.org/officeDocument/2006/relationships/chart" Target="../charts/chart13.xml"/><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8.xml"/><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image" Target="../media/image1.jpg"/><Relationship Id="rId6" Type="http://schemas.openxmlformats.org/officeDocument/2006/relationships/chart" Target="../charts/chart12.xml"/><Relationship Id="rId11" Type="http://schemas.openxmlformats.org/officeDocument/2006/relationships/image" Target="../media/image4.png"/><Relationship Id="rId5" Type="http://schemas.openxmlformats.org/officeDocument/2006/relationships/chart" Target="../charts/chart11.xml"/><Relationship Id="rId15" Type="http://schemas.openxmlformats.org/officeDocument/2006/relationships/image" Target="../media/image8.png"/><Relationship Id="rId10" Type="http://schemas.openxmlformats.org/officeDocument/2006/relationships/image" Target="../media/image3.svg"/><Relationship Id="rId19" Type="http://schemas.openxmlformats.org/officeDocument/2006/relationships/image" Target="../media/image12.png"/><Relationship Id="rId4" Type="http://schemas.openxmlformats.org/officeDocument/2006/relationships/chart" Target="../charts/chart10.xml"/><Relationship Id="rId9" Type="http://schemas.openxmlformats.org/officeDocument/2006/relationships/image" Target="../media/image2.png"/><Relationship Id="rId14" Type="http://schemas.openxmlformats.org/officeDocument/2006/relationships/image" Target="../media/image7.svg"/><Relationship Id="rId22"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editAs="oneCell">
    <xdr:from>
      <xdr:col>8</xdr:col>
      <xdr:colOff>304800</xdr:colOff>
      <xdr:row>3</xdr:row>
      <xdr:rowOff>160021</xdr:rowOff>
    </xdr:from>
    <xdr:to>
      <xdr:col>11</xdr:col>
      <xdr:colOff>304800</xdr:colOff>
      <xdr:row>9</xdr:row>
      <xdr:rowOff>175261</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CA4B4461-EC69-791D-915A-F1880E38DC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107680" y="84582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1</xdr:row>
      <xdr:rowOff>45720</xdr:rowOff>
    </xdr:from>
    <xdr:to>
      <xdr:col>8</xdr:col>
      <xdr:colOff>38100</xdr:colOff>
      <xdr:row>13</xdr:row>
      <xdr:rowOff>112395</xdr:rowOff>
    </xdr:to>
    <mc:AlternateContent xmlns:mc="http://schemas.openxmlformats.org/markup-compatibility/2006">
      <mc:Choice xmlns:a14="http://schemas.microsoft.com/office/drawing/2010/main" Requires="a14">
        <xdr:graphicFrame macro="">
          <xdr:nvGraphicFramePr>
            <xdr:cNvPr id="10" name="EducationField">
              <a:extLst>
                <a:ext uri="{FF2B5EF4-FFF2-40B4-BE49-F238E27FC236}">
                  <a16:creationId xmlns:a16="http://schemas.microsoft.com/office/drawing/2014/main" id="{3432D84B-B7EE-17CD-7CEB-96C45827E2F7}"/>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6012180" y="27432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228600</xdr:colOff>
      <xdr:row>20</xdr:row>
      <xdr:rowOff>22860</xdr:rowOff>
    </xdr:from>
    <xdr:to>
      <xdr:col>13</xdr:col>
      <xdr:colOff>358140</xdr:colOff>
      <xdr:row>21</xdr:row>
      <xdr:rowOff>198120</xdr:rowOff>
    </xdr:to>
    <xdr:sp macro="" textlink="$B$15">
      <xdr:nvSpPr>
        <xdr:cNvPr id="15" name="TextBox 14">
          <a:extLst>
            <a:ext uri="{FF2B5EF4-FFF2-40B4-BE49-F238E27FC236}">
              <a16:creationId xmlns:a16="http://schemas.microsoft.com/office/drawing/2014/main" id="{ED3BEF20-1F25-4A7D-6EAA-11E92EEB59B6}"/>
            </a:ext>
          </a:extLst>
        </xdr:cNvPr>
        <xdr:cNvSpPr txBox="1"/>
      </xdr:nvSpPr>
      <xdr:spPr>
        <a:xfrm>
          <a:off x="8351520" y="4594860"/>
          <a:ext cx="739140"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47115E-FCFD-4FE8-9980-7CBBE3982DCA}" type="TxLink">
            <a:rPr lang="en-US" sz="1100" b="0" i="0" u="none" strike="noStrike">
              <a:solidFill>
                <a:srgbClr val="000000"/>
              </a:solidFill>
              <a:latin typeface="Gill Sans MT"/>
            </a:rPr>
            <a:t>882</a:t>
          </a:fld>
          <a:endParaRPr lang="en-IN" sz="1100"/>
        </a:p>
      </xdr:txBody>
    </xdr:sp>
    <xdr:clientData/>
  </xdr:twoCellAnchor>
  <xdr:twoCellAnchor>
    <xdr:from>
      <xdr:col>1</xdr:col>
      <xdr:colOff>365760</xdr:colOff>
      <xdr:row>19</xdr:row>
      <xdr:rowOff>15240</xdr:rowOff>
    </xdr:from>
    <xdr:to>
      <xdr:col>2</xdr:col>
      <xdr:colOff>556260</xdr:colOff>
      <xdr:row>24</xdr:row>
      <xdr:rowOff>190500</xdr:rowOff>
    </xdr:to>
    <xdr:graphicFrame macro="">
      <xdr:nvGraphicFramePr>
        <xdr:cNvPr id="22" name="Chart 21">
          <a:extLst>
            <a:ext uri="{FF2B5EF4-FFF2-40B4-BE49-F238E27FC236}">
              <a16:creationId xmlns:a16="http://schemas.microsoft.com/office/drawing/2014/main" id="{6593B189-7CD4-7826-D5AE-8BA300262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160020</xdr:colOff>
      <xdr:row>16</xdr:row>
      <xdr:rowOff>198120</xdr:rowOff>
    </xdr:from>
    <xdr:to>
      <xdr:col>6</xdr:col>
      <xdr:colOff>556260</xdr:colOff>
      <xdr:row>22</xdr:row>
      <xdr:rowOff>152400</xdr:rowOff>
    </xdr:to>
    <xdr:graphicFrame macro="">
      <xdr:nvGraphicFramePr>
        <xdr:cNvPr id="23" name="Chart 22">
          <a:extLst>
            <a:ext uri="{FF2B5EF4-FFF2-40B4-BE49-F238E27FC236}">
              <a16:creationId xmlns:a16="http://schemas.microsoft.com/office/drawing/2014/main" id="{3D48EDAF-190F-4667-B68D-49271591F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312420</xdr:colOff>
      <xdr:row>19</xdr:row>
      <xdr:rowOff>220980</xdr:rowOff>
    </xdr:from>
    <xdr:to>
      <xdr:col>7</xdr:col>
      <xdr:colOff>114300</xdr:colOff>
      <xdr:row>21</xdr:row>
      <xdr:rowOff>129540</xdr:rowOff>
    </xdr:to>
    <xdr:sp macro="" textlink="$B$14">
      <xdr:nvSpPr>
        <xdr:cNvPr id="24" name="TextBox 23">
          <a:extLst>
            <a:ext uri="{FF2B5EF4-FFF2-40B4-BE49-F238E27FC236}">
              <a16:creationId xmlns:a16="http://schemas.microsoft.com/office/drawing/2014/main" id="{579BCFAD-7F4C-771B-D398-AA12F3204F35}"/>
            </a:ext>
          </a:extLst>
        </xdr:cNvPr>
        <xdr:cNvSpPr txBox="1"/>
      </xdr:nvSpPr>
      <xdr:spPr>
        <a:xfrm>
          <a:off x="5806440" y="4564380"/>
          <a:ext cx="41148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641300-1E27-4A3B-B94D-A1DE54CAA849}" type="TxLink">
            <a:rPr lang="en-US" sz="1100" b="0" i="0" u="none" strike="noStrike">
              <a:solidFill>
                <a:srgbClr val="000000"/>
              </a:solidFill>
              <a:latin typeface="Gill Sans MT"/>
            </a:rPr>
            <a:t>588</a:t>
          </a:fld>
          <a:endParaRPr lang="en-IN" sz="1100"/>
        </a:p>
      </xdr:txBody>
    </xdr:sp>
    <xdr:clientData/>
  </xdr:twoCellAnchor>
  <xdr:twoCellAnchor>
    <xdr:from>
      <xdr:col>2</xdr:col>
      <xdr:colOff>541020</xdr:colOff>
      <xdr:row>20</xdr:row>
      <xdr:rowOff>38100</xdr:rowOff>
    </xdr:from>
    <xdr:to>
      <xdr:col>2</xdr:col>
      <xdr:colOff>1089660</xdr:colOff>
      <xdr:row>21</xdr:row>
      <xdr:rowOff>68580</xdr:rowOff>
    </xdr:to>
    <xdr:sp macro="" textlink="$B$15">
      <xdr:nvSpPr>
        <xdr:cNvPr id="25" name="TextBox 24">
          <a:extLst>
            <a:ext uri="{FF2B5EF4-FFF2-40B4-BE49-F238E27FC236}">
              <a16:creationId xmlns:a16="http://schemas.microsoft.com/office/drawing/2014/main" id="{85CBB30C-B23C-EF44-26D3-6E930260F22B}"/>
            </a:ext>
          </a:extLst>
        </xdr:cNvPr>
        <xdr:cNvSpPr txBox="1"/>
      </xdr:nvSpPr>
      <xdr:spPr>
        <a:xfrm>
          <a:off x="2567940" y="4610100"/>
          <a:ext cx="54864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455BC5-3F96-4FFB-9301-E721E4C7A41D}" type="TxLink">
            <a:rPr lang="en-US" sz="1100" b="0" i="0" u="none" strike="noStrike">
              <a:solidFill>
                <a:srgbClr val="000000"/>
              </a:solidFill>
              <a:latin typeface="Gill Sans MT"/>
            </a:rPr>
            <a:t>882</a:t>
          </a:fld>
          <a:endParaRPr lang="en-IN" sz="1100"/>
        </a:p>
      </xdr:txBody>
    </xdr:sp>
    <xdr:clientData/>
  </xdr:twoCellAnchor>
  <xdr:twoCellAnchor>
    <xdr:from>
      <xdr:col>2</xdr:col>
      <xdr:colOff>373380</xdr:colOff>
      <xdr:row>33</xdr:row>
      <xdr:rowOff>38100</xdr:rowOff>
    </xdr:from>
    <xdr:to>
      <xdr:col>4</xdr:col>
      <xdr:colOff>411480</xdr:colOff>
      <xdr:row>42</xdr:row>
      <xdr:rowOff>106680</xdr:rowOff>
    </xdr:to>
    <xdr:graphicFrame macro="">
      <xdr:nvGraphicFramePr>
        <xdr:cNvPr id="26" name="Chart 25">
          <a:extLst>
            <a:ext uri="{FF2B5EF4-FFF2-40B4-BE49-F238E27FC236}">
              <a16:creationId xmlns:a16="http://schemas.microsoft.com/office/drawing/2014/main" id="{05A12C61-6601-A9EA-B744-1E6FC63DA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807720</xdr:colOff>
      <xdr:row>45</xdr:row>
      <xdr:rowOff>217170</xdr:rowOff>
    </xdr:from>
    <xdr:to>
      <xdr:col>9</xdr:col>
      <xdr:colOff>83820</xdr:colOff>
      <xdr:row>57</xdr:row>
      <xdr:rowOff>217170</xdr:rowOff>
    </xdr:to>
    <xdr:graphicFrame macro="">
      <xdr:nvGraphicFramePr>
        <xdr:cNvPr id="28" name="Chart 27">
          <a:extLst>
            <a:ext uri="{FF2B5EF4-FFF2-40B4-BE49-F238E27FC236}">
              <a16:creationId xmlns:a16="http://schemas.microsoft.com/office/drawing/2014/main" id="{0AA5143B-B004-F931-7421-05A458EFF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716280</xdr:colOff>
      <xdr:row>62</xdr:row>
      <xdr:rowOff>49530</xdr:rowOff>
    </xdr:from>
    <xdr:to>
      <xdr:col>8</xdr:col>
      <xdr:colOff>601980</xdr:colOff>
      <xdr:row>74</xdr:row>
      <xdr:rowOff>49530</xdr:rowOff>
    </xdr:to>
    <xdr:graphicFrame macro="">
      <xdr:nvGraphicFramePr>
        <xdr:cNvPr id="29" name="Chart 28">
          <a:extLst>
            <a:ext uri="{FF2B5EF4-FFF2-40B4-BE49-F238E27FC236}">
              <a16:creationId xmlns:a16="http://schemas.microsoft.com/office/drawing/2014/main" id="{750016FF-BF6A-141E-E66F-019855707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1478280</xdr:colOff>
      <xdr:row>75</xdr:row>
      <xdr:rowOff>156210</xdr:rowOff>
    </xdr:from>
    <xdr:to>
      <xdr:col>10</xdr:col>
      <xdr:colOff>144780</xdr:colOff>
      <xdr:row>87</xdr:row>
      <xdr:rowOff>156210</xdr:rowOff>
    </xdr:to>
    <xdr:graphicFrame macro="">
      <xdr:nvGraphicFramePr>
        <xdr:cNvPr id="32" name="Chart 31">
          <a:extLst>
            <a:ext uri="{FF2B5EF4-FFF2-40B4-BE49-F238E27FC236}">
              <a16:creationId xmlns:a16="http://schemas.microsoft.com/office/drawing/2014/main" id="{3CD69EAF-31E4-EA1A-B081-0ABD13BFD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403860</xdr:colOff>
      <xdr:row>89</xdr:row>
      <xdr:rowOff>186690</xdr:rowOff>
    </xdr:from>
    <xdr:to>
      <xdr:col>6</xdr:col>
      <xdr:colOff>15240</xdr:colOff>
      <xdr:row>98</xdr:row>
      <xdr:rowOff>198120</xdr:rowOff>
    </xdr:to>
    <xdr:graphicFrame macro="">
      <xdr:nvGraphicFramePr>
        <xdr:cNvPr id="33" name="Chart 32">
          <a:extLst>
            <a:ext uri="{FF2B5EF4-FFF2-40B4-BE49-F238E27FC236}">
              <a16:creationId xmlns:a16="http://schemas.microsoft.com/office/drawing/2014/main" id="{0E00DD5C-2F67-7226-68B6-B33A8F978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160020</xdr:colOff>
      <xdr:row>24</xdr:row>
      <xdr:rowOff>74295</xdr:rowOff>
    </xdr:to>
    <xdr:pic>
      <xdr:nvPicPr>
        <xdr:cNvPr id="5" name="Picture 4">
          <a:extLst>
            <a:ext uri="{FF2B5EF4-FFF2-40B4-BE49-F238E27FC236}">
              <a16:creationId xmlns:a16="http://schemas.microsoft.com/office/drawing/2014/main" id="{81E86E9E-0FFC-C090-4C3F-2CD6D08427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180820" cy="5560695"/>
        </a:xfrm>
        <a:prstGeom prst="rect">
          <a:avLst/>
        </a:prstGeom>
      </xdr:spPr>
    </xdr:pic>
    <xdr:clientData/>
  </xdr:twoCellAnchor>
  <xdr:twoCellAnchor>
    <xdr:from>
      <xdr:col>0</xdr:col>
      <xdr:colOff>167640</xdr:colOff>
      <xdr:row>2</xdr:row>
      <xdr:rowOff>205739</xdr:rowOff>
    </xdr:from>
    <xdr:to>
      <xdr:col>2</xdr:col>
      <xdr:colOff>464820</xdr:colOff>
      <xdr:row>4</xdr:row>
      <xdr:rowOff>101780</xdr:rowOff>
    </xdr:to>
    <xdr:sp macro="" textlink="KPIs!A9">
      <xdr:nvSpPr>
        <xdr:cNvPr id="6" name="TextBox 5">
          <a:extLst>
            <a:ext uri="{FF2B5EF4-FFF2-40B4-BE49-F238E27FC236}">
              <a16:creationId xmlns:a16="http://schemas.microsoft.com/office/drawing/2014/main" id="{0B0C75A5-2D46-9AA0-C30A-922A79F296DE}"/>
            </a:ext>
          </a:extLst>
        </xdr:cNvPr>
        <xdr:cNvSpPr txBox="1"/>
      </xdr:nvSpPr>
      <xdr:spPr>
        <a:xfrm>
          <a:off x="167640" y="662939"/>
          <a:ext cx="1516380" cy="353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51BFC6-CF3B-492F-AF49-7D66B28B181D}" type="TxLink">
            <a:rPr lang="en-US" sz="1200" b="1" i="0" u="none" strike="noStrike">
              <a:solidFill>
                <a:srgbClr val="260013"/>
              </a:solidFill>
              <a:latin typeface="Gill Sans MT"/>
            </a:rPr>
            <a:t>Total Employees</a:t>
          </a:fld>
          <a:endParaRPr lang="en-IN" sz="1200" b="1">
            <a:solidFill>
              <a:srgbClr val="260013"/>
            </a:solidFill>
          </a:endParaRPr>
        </a:p>
      </xdr:txBody>
    </xdr:sp>
    <xdr:clientData/>
  </xdr:twoCellAnchor>
  <xdr:twoCellAnchor>
    <xdr:from>
      <xdr:col>0</xdr:col>
      <xdr:colOff>563880</xdr:colOff>
      <xdr:row>4</xdr:row>
      <xdr:rowOff>137160</xdr:rowOff>
    </xdr:from>
    <xdr:to>
      <xdr:col>3</xdr:col>
      <xdr:colOff>7620</xdr:colOff>
      <xdr:row>5</xdr:row>
      <xdr:rowOff>220980</xdr:rowOff>
    </xdr:to>
    <xdr:sp macro="" textlink="KPIs!A10">
      <xdr:nvSpPr>
        <xdr:cNvPr id="7" name="TextBox 6">
          <a:extLst>
            <a:ext uri="{FF2B5EF4-FFF2-40B4-BE49-F238E27FC236}">
              <a16:creationId xmlns:a16="http://schemas.microsoft.com/office/drawing/2014/main" id="{1D9D27B0-37FF-F105-3DD0-EE541BF2C56C}"/>
            </a:ext>
          </a:extLst>
        </xdr:cNvPr>
        <xdr:cNvSpPr txBox="1"/>
      </xdr:nvSpPr>
      <xdr:spPr>
        <a:xfrm>
          <a:off x="563880" y="1051560"/>
          <a:ext cx="12725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B86A92-137C-4F2E-8EA1-D07E4AACF519}" type="TxLink">
            <a:rPr lang="en-US" sz="1400" b="1" i="0" u="none" strike="noStrike">
              <a:solidFill>
                <a:srgbClr val="C77DFF"/>
              </a:solidFill>
              <a:latin typeface="Gill Sans MT"/>
            </a:rPr>
            <a:t>1470</a:t>
          </a:fld>
          <a:endParaRPr lang="en-IN" sz="1400" b="1">
            <a:solidFill>
              <a:srgbClr val="C77DFF"/>
            </a:solidFill>
          </a:endParaRPr>
        </a:p>
      </xdr:txBody>
    </xdr:sp>
    <xdr:clientData/>
  </xdr:twoCellAnchor>
  <xdr:twoCellAnchor>
    <xdr:from>
      <xdr:col>5</xdr:col>
      <xdr:colOff>22860</xdr:colOff>
      <xdr:row>2</xdr:row>
      <xdr:rowOff>205739</xdr:rowOff>
    </xdr:from>
    <xdr:to>
      <xdr:col>8</xdr:col>
      <xdr:colOff>106680</xdr:colOff>
      <xdr:row>4</xdr:row>
      <xdr:rowOff>198120</xdr:rowOff>
    </xdr:to>
    <xdr:sp macro="" textlink="KPIs!B9">
      <xdr:nvSpPr>
        <xdr:cNvPr id="8" name="TextBox 7">
          <a:extLst>
            <a:ext uri="{FF2B5EF4-FFF2-40B4-BE49-F238E27FC236}">
              <a16:creationId xmlns:a16="http://schemas.microsoft.com/office/drawing/2014/main" id="{E103751F-20D7-4CD9-88F3-7B0F93FF07B6}"/>
            </a:ext>
          </a:extLst>
        </xdr:cNvPr>
        <xdr:cNvSpPr txBox="1"/>
      </xdr:nvSpPr>
      <xdr:spPr>
        <a:xfrm>
          <a:off x="3070860" y="662939"/>
          <a:ext cx="191262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DF49AA-7F32-477B-9966-86C0E21708B3}" type="TxLink">
            <a:rPr lang="en-US" sz="1200" b="1" i="0" u="none" strike="noStrike">
              <a:solidFill>
                <a:srgbClr val="260013"/>
              </a:solidFill>
              <a:latin typeface="Gill Sans MT"/>
            </a:rPr>
            <a:t>Top Department by Salary Hike</a:t>
          </a:fld>
          <a:endParaRPr lang="en-IN" sz="1200" b="1">
            <a:solidFill>
              <a:srgbClr val="260013"/>
            </a:solidFill>
          </a:endParaRPr>
        </a:p>
      </xdr:txBody>
    </xdr:sp>
    <xdr:clientData/>
  </xdr:twoCellAnchor>
  <xdr:twoCellAnchor>
    <xdr:from>
      <xdr:col>4</xdr:col>
      <xdr:colOff>541020</xdr:colOff>
      <xdr:row>4</xdr:row>
      <xdr:rowOff>129540</xdr:rowOff>
    </xdr:from>
    <xdr:to>
      <xdr:col>9</xdr:col>
      <xdr:colOff>60960</xdr:colOff>
      <xdr:row>5</xdr:row>
      <xdr:rowOff>213360</xdr:rowOff>
    </xdr:to>
    <xdr:sp macro="" textlink="KPIs!B10">
      <xdr:nvSpPr>
        <xdr:cNvPr id="9" name="TextBox 8">
          <a:extLst>
            <a:ext uri="{FF2B5EF4-FFF2-40B4-BE49-F238E27FC236}">
              <a16:creationId xmlns:a16="http://schemas.microsoft.com/office/drawing/2014/main" id="{A2C6BAA4-4839-4FF1-91F1-D32A87110388}"/>
            </a:ext>
          </a:extLst>
        </xdr:cNvPr>
        <xdr:cNvSpPr txBox="1"/>
      </xdr:nvSpPr>
      <xdr:spPr>
        <a:xfrm>
          <a:off x="2979420" y="1043940"/>
          <a:ext cx="25679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81EAA2-662C-4130-A0EF-BEF46DAF24E5}" type="TxLink">
            <a:rPr lang="en-US" sz="1400" b="1" i="0" u="none" strike="noStrike">
              <a:solidFill>
                <a:srgbClr val="C77DFF"/>
              </a:solidFill>
              <a:latin typeface="Gill Sans MT"/>
            </a:rPr>
            <a:t>Research &amp; Development</a:t>
          </a:fld>
          <a:endParaRPr lang="en-IN" sz="1400" b="1">
            <a:solidFill>
              <a:srgbClr val="C77DFF"/>
            </a:solidFill>
          </a:endParaRPr>
        </a:p>
      </xdr:txBody>
    </xdr:sp>
    <xdr:clientData/>
  </xdr:twoCellAnchor>
  <xdr:twoCellAnchor>
    <xdr:from>
      <xdr:col>9</xdr:col>
      <xdr:colOff>419100</xdr:colOff>
      <xdr:row>2</xdr:row>
      <xdr:rowOff>190499</xdr:rowOff>
    </xdr:from>
    <xdr:to>
      <xdr:col>12</xdr:col>
      <xdr:colOff>106680</xdr:colOff>
      <xdr:row>4</xdr:row>
      <xdr:rowOff>86540</xdr:rowOff>
    </xdr:to>
    <xdr:sp macro="" textlink="KPIs!C9">
      <xdr:nvSpPr>
        <xdr:cNvPr id="10" name="TextBox 9">
          <a:extLst>
            <a:ext uri="{FF2B5EF4-FFF2-40B4-BE49-F238E27FC236}">
              <a16:creationId xmlns:a16="http://schemas.microsoft.com/office/drawing/2014/main" id="{4B0FFB26-599B-4DD7-94A4-8066BE28B7FE}"/>
            </a:ext>
          </a:extLst>
        </xdr:cNvPr>
        <xdr:cNvSpPr txBox="1"/>
      </xdr:nvSpPr>
      <xdr:spPr>
        <a:xfrm>
          <a:off x="5905500" y="647699"/>
          <a:ext cx="1516380" cy="353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56254A-D2B7-4766-8E04-4EC6E96FC932}" type="TxLink">
            <a:rPr lang="en-US" sz="1200" b="1" i="0" u="none" strike="noStrike">
              <a:solidFill>
                <a:srgbClr val="260013"/>
              </a:solidFill>
              <a:latin typeface="Gill Sans MT"/>
            </a:rPr>
            <a:t>Attrition Rate</a:t>
          </a:fld>
          <a:endParaRPr lang="en-IN" sz="1200" b="1">
            <a:solidFill>
              <a:srgbClr val="260013"/>
            </a:solidFill>
          </a:endParaRPr>
        </a:p>
      </xdr:txBody>
    </xdr:sp>
    <xdr:clientData/>
  </xdr:twoCellAnchor>
  <xdr:twoCellAnchor>
    <xdr:from>
      <xdr:col>10</xdr:col>
      <xdr:colOff>220980</xdr:colOff>
      <xdr:row>4</xdr:row>
      <xdr:rowOff>114300</xdr:rowOff>
    </xdr:from>
    <xdr:to>
      <xdr:col>12</xdr:col>
      <xdr:colOff>274320</xdr:colOff>
      <xdr:row>5</xdr:row>
      <xdr:rowOff>198120</xdr:rowOff>
    </xdr:to>
    <xdr:sp macro="" textlink="KPIs!C10">
      <xdr:nvSpPr>
        <xdr:cNvPr id="11" name="TextBox 10">
          <a:extLst>
            <a:ext uri="{FF2B5EF4-FFF2-40B4-BE49-F238E27FC236}">
              <a16:creationId xmlns:a16="http://schemas.microsoft.com/office/drawing/2014/main" id="{D8F1B2E5-B036-42F3-BB39-FD2526F02C02}"/>
            </a:ext>
          </a:extLst>
        </xdr:cNvPr>
        <xdr:cNvSpPr txBox="1"/>
      </xdr:nvSpPr>
      <xdr:spPr>
        <a:xfrm>
          <a:off x="6316980" y="1028700"/>
          <a:ext cx="12725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E249D7-9275-49A0-8048-062BB997C86D}" type="TxLink">
            <a:rPr lang="en-US" sz="1400" b="1" i="0" u="none" strike="noStrike">
              <a:solidFill>
                <a:srgbClr val="C77DFF"/>
              </a:solidFill>
              <a:latin typeface="Gill Sans MT"/>
            </a:rPr>
            <a:t>16.12%</a:t>
          </a:fld>
          <a:endParaRPr lang="en-IN" sz="1400" b="1">
            <a:solidFill>
              <a:srgbClr val="C77DFF"/>
            </a:solidFill>
          </a:endParaRPr>
        </a:p>
      </xdr:txBody>
    </xdr:sp>
    <xdr:clientData/>
  </xdr:twoCellAnchor>
  <xdr:twoCellAnchor>
    <xdr:from>
      <xdr:col>14</xdr:col>
      <xdr:colOff>144780</xdr:colOff>
      <xdr:row>2</xdr:row>
      <xdr:rowOff>213359</xdr:rowOff>
    </xdr:from>
    <xdr:to>
      <xdr:col>16</xdr:col>
      <xdr:colOff>441960</xdr:colOff>
      <xdr:row>4</xdr:row>
      <xdr:rowOff>220980</xdr:rowOff>
    </xdr:to>
    <xdr:sp macro="" textlink="KPIs!D9">
      <xdr:nvSpPr>
        <xdr:cNvPr id="12" name="TextBox 11">
          <a:extLst>
            <a:ext uri="{FF2B5EF4-FFF2-40B4-BE49-F238E27FC236}">
              <a16:creationId xmlns:a16="http://schemas.microsoft.com/office/drawing/2014/main" id="{BF5D29D5-3BA1-4AA3-B638-780C628385B9}"/>
            </a:ext>
          </a:extLst>
        </xdr:cNvPr>
        <xdr:cNvSpPr txBox="1"/>
      </xdr:nvSpPr>
      <xdr:spPr>
        <a:xfrm>
          <a:off x="8679180" y="670559"/>
          <a:ext cx="1516380" cy="464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DEAA37-E448-4544-ACE2-54DFC1B87D07}" type="TxLink">
            <a:rPr lang="en-US" sz="1200" b="1" i="0" u="none" strike="noStrike">
              <a:solidFill>
                <a:srgbClr val="260013"/>
              </a:solidFill>
              <a:latin typeface="Gill Sans MT"/>
            </a:rPr>
            <a:t>Average Salary Hike</a:t>
          </a:fld>
          <a:endParaRPr lang="en-IN" sz="1200" b="1">
            <a:solidFill>
              <a:srgbClr val="260013"/>
            </a:solidFill>
          </a:endParaRPr>
        </a:p>
      </xdr:txBody>
    </xdr:sp>
    <xdr:clientData/>
  </xdr:twoCellAnchor>
  <xdr:twoCellAnchor>
    <xdr:from>
      <xdr:col>14</xdr:col>
      <xdr:colOff>548640</xdr:colOff>
      <xdr:row>4</xdr:row>
      <xdr:rowOff>129540</xdr:rowOff>
    </xdr:from>
    <xdr:to>
      <xdr:col>16</xdr:col>
      <xdr:colOff>601980</xdr:colOff>
      <xdr:row>5</xdr:row>
      <xdr:rowOff>213360</xdr:rowOff>
    </xdr:to>
    <xdr:sp macro="" textlink="KPIs!D10">
      <xdr:nvSpPr>
        <xdr:cNvPr id="13" name="TextBox 12">
          <a:extLst>
            <a:ext uri="{FF2B5EF4-FFF2-40B4-BE49-F238E27FC236}">
              <a16:creationId xmlns:a16="http://schemas.microsoft.com/office/drawing/2014/main" id="{60F374AC-FE2B-4258-B789-6477EA095B77}"/>
            </a:ext>
          </a:extLst>
        </xdr:cNvPr>
        <xdr:cNvSpPr txBox="1"/>
      </xdr:nvSpPr>
      <xdr:spPr>
        <a:xfrm>
          <a:off x="9083040" y="1043940"/>
          <a:ext cx="12725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93885E-EAD7-44A6-82B0-DED8D18D72D0}" type="TxLink">
            <a:rPr lang="en-US" sz="1400" b="1" i="0" u="none" strike="noStrike">
              <a:solidFill>
                <a:srgbClr val="C77DFF"/>
              </a:solidFill>
              <a:latin typeface="Gill Sans MT"/>
            </a:rPr>
            <a:t>15.21</a:t>
          </a:fld>
          <a:endParaRPr lang="en-IN" sz="1400" b="1">
            <a:solidFill>
              <a:srgbClr val="C77DFF"/>
            </a:solidFill>
          </a:endParaRPr>
        </a:p>
      </xdr:txBody>
    </xdr:sp>
    <xdr:clientData/>
  </xdr:twoCellAnchor>
  <xdr:twoCellAnchor>
    <xdr:from>
      <xdr:col>18</xdr:col>
      <xdr:colOff>525780</xdr:colOff>
      <xdr:row>2</xdr:row>
      <xdr:rowOff>205740</xdr:rowOff>
    </xdr:from>
    <xdr:to>
      <xdr:col>21</xdr:col>
      <xdr:colOff>213360</xdr:colOff>
      <xdr:row>4</xdr:row>
      <xdr:rowOff>198120</xdr:rowOff>
    </xdr:to>
    <xdr:sp macro="" textlink="KPIs!E9">
      <xdr:nvSpPr>
        <xdr:cNvPr id="14" name="TextBox 13">
          <a:extLst>
            <a:ext uri="{FF2B5EF4-FFF2-40B4-BE49-F238E27FC236}">
              <a16:creationId xmlns:a16="http://schemas.microsoft.com/office/drawing/2014/main" id="{4768AE0C-70A4-4F5F-9AE2-4E8CE4FFC9A7}"/>
            </a:ext>
          </a:extLst>
        </xdr:cNvPr>
        <xdr:cNvSpPr txBox="1"/>
      </xdr:nvSpPr>
      <xdr:spPr>
        <a:xfrm>
          <a:off x="11498580" y="662940"/>
          <a:ext cx="15163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227E3B-31DD-48A3-B5EC-A6F4BBC7A25E}" type="TxLink">
            <a:rPr lang="en-US" sz="1200" b="1" i="0" u="none" strike="noStrike">
              <a:solidFill>
                <a:srgbClr val="260013"/>
              </a:solidFill>
              <a:latin typeface="Gill Sans MT"/>
            </a:rPr>
            <a:t>Frequent Business Travelers</a:t>
          </a:fld>
          <a:endParaRPr lang="en-IN" sz="1200" b="1">
            <a:solidFill>
              <a:srgbClr val="260013"/>
            </a:solidFill>
          </a:endParaRPr>
        </a:p>
      </xdr:txBody>
    </xdr:sp>
    <xdr:clientData/>
  </xdr:twoCellAnchor>
  <xdr:twoCellAnchor>
    <xdr:from>
      <xdr:col>19</xdr:col>
      <xdr:colOff>411480</xdr:colOff>
      <xdr:row>4</xdr:row>
      <xdr:rowOff>137160</xdr:rowOff>
    </xdr:from>
    <xdr:to>
      <xdr:col>21</xdr:col>
      <xdr:colOff>464820</xdr:colOff>
      <xdr:row>5</xdr:row>
      <xdr:rowOff>220980</xdr:rowOff>
    </xdr:to>
    <xdr:sp macro="" textlink="KPIs!E10">
      <xdr:nvSpPr>
        <xdr:cNvPr id="15" name="TextBox 14">
          <a:extLst>
            <a:ext uri="{FF2B5EF4-FFF2-40B4-BE49-F238E27FC236}">
              <a16:creationId xmlns:a16="http://schemas.microsoft.com/office/drawing/2014/main" id="{EC3790CE-DD8E-4DE9-9649-AAFA508C4801}"/>
            </a:ext>
          </a:extLst>
        </xdr:cNvPr>
        <xdr:cNvSpPr txBox="1"/>
      </xdr:nvSpPr>
      <xdr:spPr>
        <a:xfrm>
          <a:off x="11993880" y="1051560"/>
          <a:ext cx="12725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59A2E2-B5D8-4EB8-AC1D-1E184A456A04}" type="TxLink">
            <a:rPr lang="en-US" sz="1400" b="1" i="0" u="none" strike="noStrike">
              <a:solidFill>
                <a:srgbClr val="C77DFF"/>
              </a:solidFill>
              <a:latin typeface="Gill Sans MT"/>
            </a:rPr>
            <a:t>277</a:t>
          </a:fld>
          <a:endParaRPr lang="en-IN" sz="1400" b="1">
            <a:solidFill>
              <a:srgbClr val="C77DFF"/>
            </a:solidFill>
          </a:endParaRPr>
        </a:p>
      </xdr:txBody>
    </xdr:sp>
    <xdr:clientData/>
  </xdr:twoCellAnchor>
  <xdr:twoCellAnchor>
    <xdr:from>
      <xdr:col>10</xdr:col>
      <xdr:colOff>320040</xdr:colOff>
      <xdr:row>6</xdr:row>
      <xdr:rowOff>68580</xdr:rowOff>
    </xdr:from>
    <xdr:to>
      <xdr:col>16</xdr:col>
      <xdr:colOff>510540</xdr:colOff>
      <xdr:row>12</xdr:row>
      <xdr:rowOff>60960</xdr:rowOff>
    </xdr:to>
    <xdr:graphicFrame macro="">
      <xdr:nvGraphicFramePr>
        <xdr:cNvPr id="17" name="Chart 16">
          <a:extLst>
            <a:ext uri="{FF2B5EF4-FFF2-40B4-BE49-F238E27FC236}">
              <a16:creationId xmlns:a16="http://schemas.microsoft.com/office/drawing/2014/main" id="{AB79FF40-D949-4BB9-9789-ABA4ADDB2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274320</xdr:colOff>
      <xdr:row>6</xdr:row>
      <xdr:rowOff>190500</xdr:rowOff>
    </xdr:from>
    <xdr:to>
      <xdr:col>3</xdr:col>
      <xdr:colOff>274320</xdr:colOff>
      <xdr:row>19</xdr:row>
      <xdr:rowOff>28575</xdr:rowOff>
    </xdr:to>
    <mc:AlternateContent xmlns:mc="http://schemas.openxmlformats.org/markup-compatibility/2006">
      <mc:Choice xmlns:a14="http://schemas.microsoft.com/office/drawing/2010/main" Requires="a14">
        <xdr:graphicFrame macro="">
          <xdr:nvGraphicFramePr>
            <xdr:cNvPr id="18" name="EducationField 2">
              <a:extLst>
                <a:ext uri="{FF2B5EF4-FFF2-40B4-BE49-F238E27FC236}">
                  <a16:creationId xmlns:a16="http://schemas.microsoft.com/office/drawing/2014/main" id="{89F0375C-6D36-46C0-AA8F-4EDFC7B1714D}"/>
                </a:ext>
              </a:extLst>
            </xdr:cNvPr>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dr:sp macro="" textlink="">
          <xdr:nvSpPr>
            <xdr:cNvPr id="0" name=""/>
            <xdr:cNvSpPr>
              <a:spLocks noTextEdit="1"/>
            </xdr:cNvSpPr>
          </xdr:nvSpPr>
          <xdr:spPr>
            <a:xfrm>
              <a:off x="274320" y="156210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16</xdr:row>
      <xdr:rowOff>144780</xdr:rowOff>
    </xdr:from>
    <xdr:to>
      <xdr:col>3</xdr:col>
      <xdr:colOff>274320</xdr:colOff>
      <xdr:row>22</xdr:row>
      <xdr:rowOff>160020</xdr:rowOff>
    </xdr:to>
    <mc:AlternateContent xmlns:mc="http://schemas.openxmlformats.org/markup-compatibility/2006">
      <mc:Choice xmlns:a14="http://schemas.microsoft.com/office/drawing/2010/main" Requires="a14">
        <xdr:graphicFrame macro="">
          <xdr:nvGraphicFramePr>
            <xdr:cNvPr id="19" name="Gender 2">
              <a:extLst>
                <a:ext uri="{FF2B5EF4-FFF2-40B4-BE49-F238E27FC236}">
                  <a16:creationId xmlns:a16="http://schemas.microsoft.com/office/drawing/2014/main" id="{141C8B0C-63D1-4D20-A3CA-18D25502352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74320" y="3802380"/>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30480</xdr:colOff>
      <xdr:row>12</xdr:row>
      <xdr:rowOff>144780</xdr:rowOff>
    </xdr:from>
    <xdr:to>
      <xdr:col>23</xdr:col>
      <xdr:colOff>76200</xdr:colOff>
      <xdr:row>23</xdr:row>
      <xdr:rowOff>205740</xdr:rowOff>
    </xdr:to>
    <xdr:graphicFrame macro="">
      <xdr:nvGraphicFramePr>
        <xdr:cNvPr id="20" name="Chart 19">
          <a:extLst>
            <a:ext uri="{FF2B5EF4-FFF2-40B4-BE49-F238E27FC236}">
              <a16:creationId xmlns:a16="http://schemas.microsoft.com/office/drawing/2014/main" id="{CFBA1F62-27B4-4534-9FA7-47354E21E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137160</xdr:colOff>
      <xdr:row>12</xdr:row>
      <xdr:rowOff>160020</xdr:rowOff>
    </xdr:from>
    <xdr:to>
      <xdr:col>10</xdr:col>
      <xdr:colOff>121920</xdr:colOff>
      <xdr:row>19</xdr:row>
      <xdr:rowOff>30480</xdr:rowOff>
    </xdr:to>
    <xdr:graphicFrame macro="">
      <xdr:nvGraphicFramePr>
        <xdr:cNvPr id="22" name="Chart 21">
          <a:extLst>
            <a:ext uri="{FF2B5EF4-FFF2-40B4-BE49-F238E27FC236}">
              <a16:creationId xmlns:a16="http://schemas.microsoft.com/office/drawing/2014/main" id="{D4EF4C00-6475-49FF-9190-0B4F12C48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91440</xdr:colOff>
      <xdr:row>6</xdr:row>
      <xdr:rowOff>144780</xdr:rowOff>
    </xdr:from>
    <xdr:to>
      <xdr:col>23</xdr:col>
      <xdr:colOff>53340</xdr:colOff>
      <xdr:row>12</xdr:row>
      <xdr:rowOff>11430</xdr:rowOff>
    </xdr:to>
    <xdr:graphicFrame macro="">
      <xdr:nvGraphicFramePr>
        <xdr:cNvPr id="24" name="Chart 23">
          <a:extLst>
            <a:ext uri="{FF2B5EF4-FFF2-40B4-BE49-F238E27FC236}">
              <a16:creationId xmlns:a16="http://schemas.microsoft.com/office/drawing/2014/main" id="{41941D43-F2A4-4B30-A8DD-8A4FE9A5C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320040</xdr:colOff>
      <xdr:row>12</xdr:row>
      <xdr:rowOff>152400</xdr:rowOff>
    </xdr:from>
    <xdr:to>
      <xdr:col>16</xdr:col>
      <xdr:colOff>525780</xdr:colOff>
      <xdr:row>23</xdr:row>
      <xdr:rowOff>205740</xdr:rowOff>
    </xdr:to>
    <xdr:graphicFrame macro="">
      <xdr:nvGraphicFramePr>
        <xdr:cNvPr id="25" name="Chart 24">
          <a:extLst>
            <a:ext uri="{FF2B5EF4-FFF2-40B4-BE49-F238E27FC236}">
              <a16:creationId xmlns:a16="http://schemas.microsoft.com/office/drawing/2014/main" id="{DDC0B62F-780E-4EE1-BE0E-6047C7795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160020</xdr:colOff>
      <xdr:row>8</xdr:row>
      <xdr:rowOff>121920</xdr:rowOff>
    </xdr:from>
    <xdr:to>
      <xdr:col>6</xdr:col>
      <xdr:colOff>106680</xdr:colOff>
      <xdr:row>12</xdr:row>
      <xdr:rowOff>22860</xdr:rowOff>
    </xdr:to>
    <xdr:graphicFrame macro="">
      <xdr:nvGraphicFramePr>
        <xdr:cNvPr id="26" name="Chart 25">
          <a:extLst>
            <a:ext uri="{FF2B5EF4-FFF2-40B4-BE49-F238E27FC236}">
              <a16:creationId xmlns:a16="http://schemas.microsoft.com/office/drawing/2014/main" id="{C650E71B-604D-492B-AFAD-1A5877BD6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236220</xdr:colOff>
      <xdr:row>8</xdr:row>
      <xdr:rowOff>121920</xdr:rowOff>
    </xdr:from>
    <xdr:to>
      <xdr:col>10</xdr:col>
      <xdr:colOff>182880</xdr:colOff>
      <xdr:row>12</xdr:row>
      <xdr:rowOff>30480</xdr:rowOff>
    </xdr:to>
    <xdr:graphicFrame macro="">
      <xdr:nvGraphicFramePr>
        <xdr:cNvPr id="27" name="Chart 26">
          <a:extLst>
            <a:ext uri="{FF2B5EF4-FFF2-40B4-BE49-F238E27FC236}">
              <a16:creationId xmlns:a16="http://schemas.microsoft.com/office/drawing/2014/main" id="{0DFB8C7A-A2B7-4BD0-B94E-294F96BEB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563880</xdr:colOff>
      <xdr:row>9</xdr:row>
      <xdr:rowOff>167640</xdr:rowOff>
    </xdr:from>
    <xdr:to>
      <xdr:col>5</xdr:col>
      <xdr:colOff>365760</xdr:colOff>
      <xdr:row>10</xdr:row>
      <xdr:rowOff>137160</xdr:rowOff>
    </xdr:to>
    <xdr:sp macro="" textlink="'Total Employees'!B15">
      <xdr:nvSpPr>
        <xdr:cNvPr id="28" name="TextBox 27">
          <a:extLst>
            <a:ext uri="{FF2B5EF4-FFF2-40B4-BE49-F238E27FC236}">
              <a16:creationId xmlns:a16="http://schemas.microsoft.com/office/drawing/2014/main" id="{BBC55188-7448-982F-D974-44C906924378}"/>
            </a:ext>
          </a:extLst>
        </xdr:cNvPr>
        <xdr:cNvSpPr txBox="1"/>
      </xdr:nvSpPr>
      <xdr:spPr>
        <a:xfrm>
          <a:off x="3002280" y="2225040"/>
          <a:ext cx="4114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753AF2-5A02-4118-936B-9167BA5F0FEE}" type="TxLink">
            <a:rPr lang="en-US" sz="1100" b="0" i="0" u="none" strike="noStrike">
              <a:solidFill>
                <a:srgbClr val="000000"/>
              </a:solidFill>
              <a:latin typeface="Gill Sans MT"/>
            </a:rPr>
            <a:t>882</a:t>
          </a:fld>
          <a:endParaRPr lang="en-IN" sz="1100"/>
        </a:p>
      </xdr:txBody>
    </xdr:sp>
    <xdr:clientData/>
  </xdr:twoCellAnchor>
  <xdr:twoCellAnchor editAs="oneCell">
    <xdr:from>
      <xdr:col>6</xdr:col>
      <xdr:colOff>91440</xdr:colOff>
      <xdr:row>9</xdr:row>
      <xdr:rowOff>7620</xdr:rowOff>
    </xdr:from>
    <xdr:to>
      <xdr:col>7</xdr:col>
      <xdr:colOff>144780</xdr:colOff>
      <xdr:row>11</xdr:row>
      <xdr:rowOff>38100</xdr:rowOff>
    </xdr:to>
    <xdr:pic>
      <xdr:nvPicPr>
        <xdr:cNvPr id="30" name="Graphic 29" descr="Male profile with solid fill">
          <a:extLst>
            <a:ext uri="{FF2B5EF4-FFF2-40B4-BE49-F238E27FC236}">
              <a16:creationId xmlns:a16="http://schemas.microsoft.com/office/drawing/2014/main" id="{DB6D649B-CD31-1A8E-3114-9279AA823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749040" y="2065020"/>
          <a:ext cx="662940" cy="487680"/>
        </a:xfrm>
        <a:prstGeom prst="rect">
          <a:avLst/>
        </a:prstGeom>
      </xdr:spPr>
    </xdr:pic>
    <xdr:clientData/>
  </xdr:twoCellAnchor>
  <xdr:twoCellAnchor editAs="oneCell">
    <xdr:from>
      <xdr:col>7</xdr:col>
      <xdr:colOff>198120</xdr:colOff>
      <xdr:row>9</xdr:row>
      <xdr:rowOff>7620</xdr:rowOff>
    </xdr:from>
    <xdr:to>
      <xdr:col>8</xdr:col>
      <xdr:colOff>274320</xdr:colOff>
      <xdr:row>11</xdr:row>
      <xdr:rowOff>22860</xdr:rowOff>
    </xdr:to>
    <xdr:pic>
      <xdr:nvPicPr>
        <xdr:cNvPr id="32" name="Graphic 31" descr="Female Profile with solid fill">
          <a:extLst>
            <a:ext uri="{FF2B5EF4-FFF2-40B4-BE49-F238E27FC236}">
              <a16:creationId xmlns:a16="http://schemas.microsoft.com/office/drawing/2014/main" id="{E117A3BE-4A01-D4D5-BA75-F4E6A10F3FF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65320" y="2065020"/>
          <a:ext cx="685800" cy="472440"/>
        </a:xfrm>
        <a:prstGeom prst="rect">
          <a:avLst/>
        </a:prstGeom>
      </xdr:spPr>
    </xdr:pic>
    <xdr:clientData/>
  </xdr:twoCellAnchor>
  <xdr:twoCellAnchor>
    <xdr:from>
      <xdr:col>4</xdr:col>
      <xdr:colOff>441960</xdr:colOff>
      <xdr:row>6</xdr:row>
      <xdr:rowOff>160020</xdr:rowOff>
    </xdr:from>
    <xdr:to>
      <xdr:col>9</xdr:col>
      <xdr:colOff>358140</xdr:colOff>
      <xdr:row>7</xdr:row>
      <xdr:rowOff>182880</xdr:rowOff>
    </xdr:to>
    <xdr:sp macro="" textlink="">
      <xdr:nvSpPr>
        <xdr:cNvPr id="33" name="Rectangle 32">
          <a:extLst>
            <a:ext uri="{FF2B5EF4-FFF2-40B4-BE49-F238E27FC236}">
              <a16:creationId xmlns:a16="http://schemas.microsoft.com/office/drawing/2014/main" id="{4959A1CA-97CC-EF41-96F4-D6DE5F4C21F0}"/>
            </a:ext>
          </a:extLst>
        </xdr:cNvPr>
        <xdr:cNvSpPr/>
      </xdr:nvSpPr>
      <xdr:spPr>
        <a:xfrm>
          <a:off x="2880360" y="1531620"/>
          <a:ext cx="296418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400" b="1">
              <a:solidFill>
                <a:schemeClr val="tx1"/>
              </a:solidFill>
            </a:rPr>
            <a:t>Total Employees</a:t>
          </a:r>
        </a:p>
      </xdr:txBody>
    </xdr:sp>
    <xdr:clientData/>
  </xdr:twoCellAnchor>
  <xdr:twoCellAnchor>
    <xdr:from>
      <xdr:col>7</xdr:col>
      <xdr:colOff>510540</xdr:colOff>
      <xdr:row>0</xdr:row>
      <xdr:rowOff>91440</xdr:rowOff>
    </xdr:from>
    <xdr:to>
      <xdr:col>14</xdr:col>
      <xdr:colOff>495300</xdr:colOff>
      <xdr:row>1</xdr:row>
      <xdr:rowOff>220980</xdr:rowOff>
    </xdr:to>
    <xdr:sp macro="" textlink="">
      <xdr:nvSpPr>
        <xdr:cNvPr id="34" name="TextBox 33">
          <a:extLst>
            <a:ext uri="{FF2B5EF4-FFF2-40B4-BE49-F238E27FC236}">
              <a16:creationId xmlns:a16="http://schemas.microsoft.com/office/drawing/2014/main" id="{00DE1865-AFFF-98C6-9489-B20AF3229A15}"/>
            </a:ext>
          </a:extLst>
        </xdr:cNvPr>
        <xdr:cNvSpPr txBox="1"/>
      </xdr:nvSpPr>
      <xdr:spPr>
        <a:xfrm>
          <a:off x="4777740" y="91440"/>
          <a:ext cx="42519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HR Analytics Dashboard</a:t>
          </a:r>
        </a:p>
      </xdr:txBody>
    </xdr:sp>
    <xdr:clientData/>
  </xdr:twoCellAnchor>
  <xdr:twoCellAnchor>
    <xdr:from>
      <xdr:col>4</xdr:col>
      <xdr:colOff>129540</xdr:colOff>
      <xdr:row>19</xdr:row>
      <xdr:rowOff>190500</xdr:rowOff>
    </xdr:from>
    <xdr:to>
      <xdr:col>10</xdr:col>
      <xdr:colOff>160020</xdr:colOff>
      <xdr:row>24</xdr:row>
      <xdr:rowOff>0</xdr:rowOff>
    </xdr:to>
    <xdr:sp macro="" textlink="">
      <xdr:nvSpPr>
        <xdr:cNvPr id="39" name="TextBox 38">
          <a:extLst>
            <a:ext uri="{FF2B5EF4-FFF2-40B4-BE49-F238E27FC236}">
              <a16:creationId xmlns:a16="http://schemas.microsoft.com/office/drawing/2014/main" id="{AC6AA6A5-6CD8-7FCA-7997-5A9B05924AA4}"/>
            </a:ext>
          </a:extLst>
        </xdr:cNvPr>
        <xdr:cNvSpPr txBox="1"/>
      </xdr:nvSpPr>
      <xdr:spPr>
        <a:xfrm>
          <a:off x="2567940" y="4533900"/>
          <a:ext cx="3688080"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900"/>
            <a:t>           </a:t>
          </a:r>
          <a:r>
            <a:rPr lang="en-IN" sz="1100" b="1">
              <a:solidFill>
                <a:srgbClr val="260013"/>
              </a:solidFill>
            </a:rPr>
            <a:t>Key Insights </a:t>
          </a:r>
        </a:p>
        <a:p>
          <a:r>
            <a:rPr lang="en-IN" sz="1100" b="1">
              <a:solidFill>
                <a:schemeClr val="dk1"/>
              </a:solidFill>
              <a:effectLst/>
              <a:latin typeface="+mn-lt"/>
              <a:ea typeface="+mn-ea"/>
              <a:cs typeface="+mn-cs"/>
            </a:rPr>
            <a:t>•</a:t>
          </a:r>
          <a:r>
            <a:rPr lang="en-IN" sz="900" b="1">
              <a:solidFill>
                <a:srgbClr val="7B2CBF"/>
              </a:solidFill>
            </a:rPr>
            <a:t> R&amp;D has the highest salary hike (15.29%) </a:t>
          </a:r>
        </a:p>
        <a:p>
          <a:r>
            <a:rPr lang="en-IN" sz="1100" b="1">
              <a:solidFill>
                <a:schemeClr val="dk1"/>
              </a:solidFill>
              <a:effectLst/>
              <a:latin typeface="+mn-lt"/>
              <a:ea typeface="+mn-ea"/>
              <a:cs typeface="+mn-cs"/>
            </a:rPr>
            <a:t>•</a:t>
          </a:r>
          <a:r>
            <a:rPr lang="en-IN" sz="900" b="1" baseline="0">
              <a:solidFill>
                <a:srgbClr val="7B2CBF"/>
              </a:solidFill>
              <a:effectLst/>
              <a:latin typeface="+mn-lt"/>
              <a:ea typeface="+mn-ea"/>
              <a:cs typeface="+mn-cs"/>
            </a:rPr>
            <a:t> </a:t>
          </a:r>
          <a:r>
            <a:rPr lang="en-IN" sz="900" b="1">
              <a:solidFill>
                <a:srgbClr val="7B2CBF"/>
              </a:solidFill>
            </a:rPr>
            <a:t> Most employees belong to Job Levels 1 and 2.</a:t>
          </a:r>
        </a:p>
        <a:p>
          <a:r>
            <a:rPr lang="en-IN" sz="1100" b="1">
              <a:solidFill>
                <a:schemeClr val="dk1"/>
              </a:solidFill>
              <a:effectLst/>
              <a:latin typeface="+mn-lt"/>
              <a:ea typeface="+mn-ea"/>
              <a:cs typeface="+mn-cs"/>
            </a:rPr>
            <a:t>•</a:t>
          </a:r>
          <a:r>
            <a:rPr lang="en-IN" sz="900" b="1">
              <a:solidFill>
                <a:srgbClr val="7B2CBF"/>
              </a:solidFill>
            </a:rPr>
            <a:t> The organization has an attrition rate of 16.12%.</a:t>
          </a:r>
        </a:p>
        <a:p>
          <a:r>
            <a:rPr lang="en-IN" sz="1100" b="1">
              <a:solidFill>
                <a:schemeClr val="dk1"/>
              </a:solidFill>
              <a:effectLst/>
              <a:latin typeface="+mn-lt"/>
              <a:ea typeface="+mn-ea"/>
              <a:cs typeface="+mn-cs"/>
            </a:rPr>
            <a:t>•</a:t>
          </a:r>
          <a:r>
            <a:rPr lang="en-IN" sz="900" b="1" baseline="0">
              <a:solidFill>
                <a:srgbClr val="7B2CBF"/>
              </a:solidFill>
            </a:rPr>
            <a:t>  </a:t>
          </a:r>
          <a:r>
            <a:rPr lang="en-IN" sz="900" b="1">
              <a:solidFill>
                <a:srgbClr val="7B2CBF"/>
              </a:solidFill>
            </a:rPr>
            <a:t>Job Level 5 employees earn significantly more than Job Level 1</a:t>
          </a:r>
          <a:r>
            <a:rPr lang="en-IN" sz="900" b="1" baseline="0">
              <a:solidFill>
                <a:srgbClr val="7B2CBF"/>
              </a:solidFill>
            </a:rPr>
            <a:t> </a:t>
          </a:r>
          <a:endParaRPr lang="en-IN" sz="900" b="1">
            <a:solidFill>
              <a:srgbClr val="7B2CBF"/>
            </a:solidFill>
          </a:endParaRPr>
        </a:p>
        <a:p>
          <a:endParaRPr lang="en-IN" sz="900"/>
        </a:p>
      </xdr:txBody>
    </xdr:sp>
    <xdr:clientData/>
  </xdr:twoCellAnchor>
  <xdr:twoCellAnchor editAs="oneCell">
    <xdr:from>
      <xdr:col>4</xdr:col>
      <xdr:colOff>160020</xdr:colOff>
      <xdr:row>19</xdr:row>
      <xdr:rowOff>198120</xdr:rowOff>
    </xdr:from>
    <xdr:to>
      <xdr:col>4</xdr:col>
      <xdr:colOff>487680</xdr:colOff>
      <xdr:row>20</xdr:row>
      <xdr:rowOff>198120</xdr:rowOff>
    </xdr:to>
    <xdr:pic>
      <xdr:nvPicPr>
        <xdr:cNvPr id="41" name="Graphic 40" descr="Checkmark with solid fill">
          <a:extLst>
            <a:ext uri="{FF2B5EF4-FFF2-40B4-BE49-F238E27FC236}">
              <a16:creationId xmlns:a16="http://schemas.microsoft.com/office/drawing/2014/main" id="{3D7CEB47-9229-DFAB-089F-08834A2D129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598420" y="4541520"/>
          <a:ext cx="327660" cy="228600"/>
        </a:xfrm>
        <a:prstGeom prst="rect">
          <a:avLst/>
        </a:prstGeom>
      </xdr:spPr>
    </xdr:pic>
    <xdr:clientData/>
  </xdr:twoCellAnchor>
  <xdr:twoCellAnchor editAs="oneCell">
    <xdr:from>
      <xdr:col>3</xdr:col>
      <xdr:colOff>335280</xdr:colOff>
      <xdr:row>2</xdr:row>
      <xdr:rowOff>182880</xdr:rowOff>
    </xdr:from>
    <xdr:to>
      <xdr:col>4</xdr:col>
      <xdr:colOff>365760</xdr:colOff>
      <xdr:row>4</xdr:row>
      <xdr:rowOff>83820</xdr:rowOff>
    </xdr:to>
    <xdr:pic>
      <xdr:nvPicPr>
        <xdr:cNvPr id="53" name="Graphic 52" descr="Users with solid fill">
          <a:extLst>
            <a:ext uri="{FF2B5EF4-FFF2-40B4-BE49-F238E27FC236}">
              <a16:creationId xmlns:a16="http://schemas.microsoft.com/office/drawing/2014/main" id="{5960BDB8-ADE7-423E-8A21-A3EC46CE531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64080" y="640080"/>
          <a:ext cx="640080" cy="358140"/>
        </a:xfrm>
        <a:prstGeom prst="rect">
          <a:avLst/>
        </a:prstGeom>
      </xdr:spPr>
    </xdr:pic>
    <xdr:clientData/>
  </xdr:twoCellAnchor>
  <xdr:twoCellAnchor editAs="oneCell">
    <xdr:from>
      <xdr:col>17</xdr:col>
      <xdr:colOff>281940</xdr:colOff>
      <xdr:row>2</xdr:row>
      <xdr:rowOff>190500</xdr:rowOff>
    </xdr:from>
    <xdr:to>
      <xdr:col>18</xdr:col>
      <xdr:colOff>213360</xdr:colOff>
      <xdr:row>4</xdr:row>
      <xdr:rowOff>99060</xdr:rowOff>
    </xdr:to>
    <xdr:pic>
      <xdr:nvPicPr>
        <xdr:cNvPr id="54" name="Graphic 53" descr="Bar graph with upward trend with solid fill">
          <a:extLst>
            <a:ext uri="{FF2B5EF4-FFF2-40B4-BE49-F238E27FC236}">
              <a16:creationId xmlns:a16="http://schemas.microsoft.com/office/drawing/2014/main" id="{2513FD1D-670F-47B3-9533-73C85878627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645140" y="647700"/>
          <a:ext cx="541020" cy="365760"/>
        </a:xfrm>
        <a:prstGeom prst="rect">
          <a:avLst/>
        </a:prstGeom>
      </xdr:spPr>
    </xdr:pic>
    <xdr:clientData/>
  </xdr:twoCellAnchor>
  <xdr:twoCellAnchor editAs="oneCell">
    <xdr:from>
      <xdr:col>12</xdr:col>
      <xdr:colOff>579120</xdr:colOff>
      <xdr:row>2</xdr:row>
      <xdr:rowOff>190500</xdr:rowOff>
    </xdr:from>
    <xdr:to>
      <xdr:col>13</xdr:col>
      <xdr:colOff>487680</xdr:colOff>
      <xdr:row>4</xdr:row>
      <xdr:rowOff>83820</xdr:rowOff>
    </xdr:to>
    <xdr:pic>
      <xdr:nvPicPr>
        <xdr:cNvPr id="55" name="Graphic 54" descr="Clipboard Checked with solid fill">
          <a:extLst>
            <a:ext uri="{FF2B5EF4-FFF2-40B4-BE49-F238E27FC236}">
              <a16:creationId xmlns:a16="http://schemas.microsoft.com/office/drawing/2014/main" id="{F106B87E-CC1F-4C77-847F-5BA059E73B4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894320" y="647700"/>
          <a:ext cx="518160" cy="350520"/>
        </a:xfrm>
        <a:prstGeom prst="rect">
          <a:avLst/>
        </a:prstGeom>
      </xdr:spPr>
    </xdr:pic>
    <xdr:clientData/>
  </xdr:twoCellAnchor>
  <xdr:twoCellAnchor editAs="oneCell">
    <xdr:from>
      <xdr:col>22</xdr:col>
      <xdr:colOff>83820</xdr:colOff>
      <xdr:row>2</xdr:row>
      <xdr:rowOff>190500</xdr:rowOff>
    </xdr:from>
    <xdr:to>
      <xdr:col>23</xdr:col>
      <xdr:colOff>22860</xdr:colOff>
      <xdr:row>4</xdr:row>
      <xdr:rowOff>53340</xdr:rowOff>
    </xdr:to>
    <xdr:pic>
      <xdr:nvPicPr>
        <xdr:cNvPr id="57" name="Graphic 56" descr="Airplane with solid fill">
          <a:extLst>
            <a:ext uri="{FF2B5EF4-FFF2-40B4-BE49-F238E27FC236}">
              <a16:creationId xmlns:a16="http://schemas.microsoft.com/office/drawing/2014/main" id="{797BE29A-B694-4175-9329-5ADBDDFB574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495020" y="647700"/>
          <a:ext cx="548640" cy="320040"/>
        </a:xfrm>
        <a:prstGeom prst="rect">
          <a:avLst/>
        </a:prstGeom>
      </xdr:spPr>
    </xdr:pic>
    <xdr:clientData/>
  </xdr:twoCellAnchor>
  <xdr:twoCellAnchor>
    <xdr:from>
      <xdr:col>4</xdr:col>
      <xdr:colOff>411480</xdr:colOff>
      <xdr:row>7</xdr:row>
      <xdr:rowOff>205740</xdr:rowOff>
    </xdr:from>
    <xdr:to>
      <xdr:col>5</xdr:col>
      <xdr:colOff>556260</xdr:colOff>
      <xdr:row>8</xdr:row>
      <xdr:rowOff>175260</xdr:rowOff>
    </xdr:to>
    <xdr:sp macro="" textlink="">
      <xdr:nvSpPr>
        <xdr:cNvPr id="61" name="TextBox 60">
          <a:extLst>
            <a:ext uri="{FF2B5EF4-FFF2-40B4-BE49-F238E27FC236}">
              <a16:creationId xmlns:a16="http://schemas.microsoft.com/office/drawing/2014/main" id="{EB77F757-8EB3-B762-C751-6E67FB56A1E0}"/>
            </a:ext>
          </a:extLst>
        </xdr:cNvPr>
        <xdr:cNvSpPr txBox="1"/>
      </xdr:nvSpPr>
      <xdr:spPr>
        <a:xfrm>
          <a:off x="2849880" y="1805940"/>
          <a:ext cx="7543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70C0"/>
              </a:solidFill>
            </a:rPr>
            <a:t>Male</a:t>
          </a:r>
        </a:p>
      </xdr:txBody>
    </xdr:sp>
    <xdr:clientData/>
  </xdr:twoCellAnchor>
  <xdr:twoCellAnchor>
    <xdr:from>
      <xdr:col>8</xdr:col>
      <xdr:colOff>289560</xdr:colOff>
      <xdr:row>7</xdr:row>
      <xdr:rowOff>213360</xdr:rowOff>
    </xdr:from>
    <xdr:to>
      <xdr:col>9</xdr:col>
      <xdr:colOff>434340</xdr:colOff>
      <xdr:row>8</xdr:row>
      <xdr:rowOff>182880</xdr:rowOff>
    </xdr:to>
    <xdr:sp macro="" textlink="">
      <xdr:nvSpPr>
        <xdr:cNvPr id="62" name="TextBox 61">
          <a:extLst>
            <a:ext uri="{FF2B5EF4-FFF2-40B4-BE49-F238E27FC236}">
              <a16:creationId xmlns:a16="http://schemas.microsoft.com/office/drawing/2014/main" id="{F0E57558-1909-4733-BED0-24D9139A50F4}"/>
            </a:ext>
          </a:extLst>
        </xdr:cNvPr>
        <xdr:cNvSpPr txBox="1"/>
      </xdr:nvSpPr>
      <xdr:spPr>
        <a:xfrm>
          <a:off x="5166360" y="1813560"/>
          <a:ext cx="7543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D17DCB"/>
              </a:solidFill>
            </a:rPr>
            <a:t>Female</a:t>
          </a:r>
        </a:p>
      </xdr:txBody>
    </xdr:sp>
    <xdr:clientData/>
  </xdr:twoCellAnchor>
  <xdr:twoCellAnchor editAs="oneCell">
    <xdr:from>
      <xdr:col>8</xdr:col>
      <xdr:colOff>175260</xdr:colOff>
      <xdr:row>2</xdr:row>
      <xdr:rowOff>205740</xdr:rowOff>
    </xdr:from>
    <xdr:to>
      <xdr:col>9</xdr:col>
      <xdr:colOff>175260</xdr:colOff>
      <xdr:row>4</xdr:row>
      <xdr:rowOff>76200</xdr:rowOff>
    </xdr:to>
    <xdr:pic>
      <xdr:nvPicPr>
        <xdr:cNvPr id="67" name="Graphic 66" descr="Bar graph with upward trend with solid fill">
          <a:extLst>
            <a:ext uri="{FF2B5EF4-FFF2-40B4-BE49-F238E27FC236}">
              <a16:creationId xmlns:a16="http://schemas.microsoft.com/office/drawing/2014/main" id="{6309CDE5-751D-43CE-A970-3A3B71D64C1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052060" y="662940"/>
          <a:ext cx="609600" cy="32766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0.04618</cdr:x>
      <cdr:y>0.0355</cdr:y>
    </cdr:from>
    <cdr:to>
      <cdr:x>0.95382</cdr:x>
      <cdr:y>0.26036</cdr:y>
    </cdr:to>
    <cdr:sp macro="" textlink="">
      <cdr:nvSpPr>
        <cdr:cNvPr id="2" name="TextBox 1">
          <a:extLst xmlns:a="http://schemas.openxmlformats.org/drawingml/2006/main">
            <a:ext uri="{FF2B5EF4-FFF2-40B4-BE49-F238E27FC236}">
              <a16:creationId xmlns:a16="http://schemas.microsoft.com/office/drawing/2014/main" id="{2D08D966-C336-BF00-AD8F-E1643E5CFC2B}"/>
            </a:ext>
          </a:extLst>
        </cdr:cNvPr>
        <cdr:cNvSpPr txBox="1"/>
      </cdr:nvSpPr>
      <cdr:spPr>
        <a:xfrm xmlns:a="http://schemas.openxmlformats.org/drawingml/2006/main">
          <a:off x="175260" y="45720"/>
          <a:ext cx="344424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0.01205</cdr:x>
      <cdr:y>0.04734</cdr:y>
    </cdr:from>
    <cdr:to>
      <cdr:x>0.97189</cdr:x>
      <cdr:y>0.21893</cdr:y>
    </cdr:to>
    <cdr:sp macro="" textlink="">
      <cdr:nvSpPr>
        <cdr:cNvPr id="3" name="TextBox 2">
          <a:extLst xmlns:a="http://schemas.openxmlformats.org/drawingml/2006/main">
            <a:ext uri="{FF2B5EF4-FFF2-40B4-BE49-F238E27FC236}">
              <a16:creationId xmlns:a16="http://schemas.microsoft.com/office/drawing/2014/main" id="{4930C34A-8FE6-3C44-05EC-BCC1B5CF49FF}"/>
            </a:ext>
          </a:extLst>
        </cdr:cNvPr>
        <cdr:cNvSpPr txBox="1"/>
      </cdr:nvSpPr>
      <cdr:spPr>
        <a:xfrm xmlns:a="http://schemas.openxmlformats.org/drawingml/2006/main">
          <a:off x="45720" y="60960"/>
          <a:ext cx="3642360" cy="22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0.0241</cdr:x>
      <cdr:y>0.01775</cdr:y>
    </cdr:from>
    <cdr:to>
      <cdr:x>0.96787</cdr:x>
      <cdr:y>0.2071</cdr:y>
    </cdr:to>
    <cdr:sp macro="" textlink="">
      <cdr:nvSpPr>
        <cdr:cNvPr id="4" name="TextBox 3">
          <a:extLst xmlns:a="http://schemas.openxmlformats.org/drawingml/2006/main">
            <a:ext uri="{FF2B5EF4-FFF2-40B4-BE49-F238E27FC236}">
              <a16:creationId xmlns:a16="http://schemas.microsoft.com/office/drawing/2014/main" id="{2F5E5F0C-4E52-DE3A-7FCF-5BCAE677F734}"/>
            </a:ext>
          </a:extLst>
        </cdr:cNvPr>
        <cdr:cNvSpPr txBox="1"/>
      </cdr:nvSpPr>
      <cdr:spPr>
        <a:xfrm xmlns:a="http://schemas.openxmlformats.org/drawingml/2006/main">
          <a:off x="91440" y="22860"/>
          <a:ext cx="3581400" cy="2438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0.31333</cdr:x>
      <cdr:y>0.31579</cdr:y>
    </cdr:from>
    <cdr:to>
      <cdr:x>0.67333</cdr:x>
      <cdr:y>0.72632</cdr:y>
    </cdr:to>
    <cdr:sp macro="" textlink="'Total Employees'!$B$14">
      <cdr:nvSpPr>
        <cdr:cNvPr id="2" name="TextBox 1">
          <a:extLst xmlns:a="http://schemas.openxmlformats.org/drawingml/2006/main">
            <a:ext uri="{FF2B5EF4-FFF2-40B4-BE49-F238E27FC236}">
              <a16:creationId xmlns:a16="http://schemas.microsoft.com/office/drawing/2014/main" id="{6E5B7F47-F9CC-2E15-06BC-05B56F8C7F2F}"/>
            </a:ext>
          </a:extLst>
        </cdr:cNvPr>
        <cdr:cNvSpPr txBox="1"/>
      </cdr:nvSpPr>
      <cdr:spPr>
        <a:xfrm xmlns:a="http://schemas.openxmlformats.org/drawingml/2006/main">
          <a:off x="358140" y="228600"/>
          <a:ext cx="411480" cy="29718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E8A7DEB2-702F-481F-92DA-1D9E260A61EB}" type="TxLink">
            <a:rPr lang="en-US" sz="1100" b="0" i="0" u="none" strike="noStrike">
              <a:solidFill>
                <a:srgbClr val="000000"/>
              </a:solidFill>
              <a:latin typeface="Gill Sans MT"/>
            </a:rPr>
            <a:t>588</a:t>
          </a:fld>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ika" refreshedDate="46187.824311921293" createdVersion="8" refreshedVersion="8" minRefreshableVersion="3" recordCount="1470" xr:uid="{DC9ADFFE-D6E0-4C3D-A76E-95ED10A8DDB4}">
  <cacheSource type="worksheet">
    <worksheetSource name="Table2"/>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ount="1">
        <n v="8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002424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x v="0"/>
    <n v="1"/>
    <n v="1"/>
    <n v="2"/>
    <x v="0"/>
    <n v="94"/>
    <n v="3"/>
    <x v="0"/>
    <s v="Sales Executive"/>
    <n v="4"/>
    <s v="Single"/>
    <x v="0"/>
    <n v="19479"/>
    <n v="8"/>
    <s v="Y"/>
    <x v="0"/>
    <n v="11"/>
    <n v="3"/>
    <n v="1"/>
    <x v="0"/>
    <n v="0"/>
    <n v="8"/>
    <n v="0"/>
    <n v="1"/>
    <n v="6"/>
    <n v="4"/>
    <x v="0"/>
    <n v="5"/>
  </r>
  <r>
    <n v="49"/>
    <x v="1"/>
    <x v="1"/>
    <n v="279"/>
    <x v="1"/>
    <n v="8"/>
    <n v="1"/>
    <x v="0"/>
    <n v="1"/>
    <n v="2"/>
    <n v="3"/>
    <x v="1"/>
    <n v="61"/>
    <n v="2"/>
    <x v="0"/>
    <s v="Research Scientist"/>
    <n v="2"/>
    <s v="Married"/>
    <x v="1"/>
    <n v="24907"/>
    <n v="1"/>
    <s v="Y"/>
    <x v="1"/>
    <n v="23"/>
    <n v="4"/>
    <n v="4"/>
    <x v="0"/>
    <n v="1"/>
    <n v="10"/>
    <n v="3"/>
    <n v="3"/>
    <n v="10"/>
    <n v="7"/>
    <x v="1"/>
    <n v="7"/>
  </r>
  <r>
    <n v="37"/>
    <x v="0"/>
    <x v="0"/>
    <n v="1373"/>
    <x v="1"/>
    <n v="2"/>
    <n v="2"/>
    <x v="1"/>
    <n v="1"/>
    <n v="4"/>
    <n v="4"/>
    <x v="1"/>
    <n v="92"/>
    <n v="2"/>
    <x v="1"/>
    <s v="Laboratory Technician"/>
    <n v="3"/>
    <s v="Single"/>
    <x v="2"/>
    <n v="2396"/>
    <n v="6"/>
    <s v="Y"/>
    <x v="0"/>
    <n v="15"/>
    <n v="3"/>
    <n v="2"/>
    <x v="0"/>
    <n v="0"/>
    <n v="7"/>
    <n v="3"/>
    <n v="3"/>
    <n v="0"/>
    <n v="0"/>
    <x v="0"/>
    <n v="0"/>
  </r>
  <r>
    <n v="33"/>
    <x v="1"/>
    <x v="1"/>
    <n v="1392"/>
    <x v="1"/>
    <n v="3"/>
    <n v="4"/>
    <x v="0"/>
    <n v="1"/>
    <n v="5"/>
    <n v="4"/>
    <x v="0"/>
    <n v="56"/>
    <n v="3"/>
    <x v="1"/>
    <s v="Research Scientist"/>
    <n v="3"/>
    <s v="Married"/>
    <x v="3"/>
    <n v="23159"/>
    <n v="1"/>
    <s v="Y"/>
    <x v="0"/>
    <n v="11"/>
    <n v="3"/>
    <n v="3"/>
    <x v="0"/>
    <n v="0"/>
    <n v="8"/>
    <n v="3"/>
    <n v="3"/>
    <n v="8"/>
    <n v="7"/>
    <x v="2"/>
    <n v="0"/>
  </r>
  <r>
    <n v="27"/>
    <x v="1"/>
    <x v="0"/>
    <n v="591"/>
    <x v="1"/>
    <n v="2"/>
    <n v="1"/>
    <x v="2"/>
    <n v="1"/>
    <n v="7"/>
    <n v="1"/>
    <x v="1"/>
    <n v="40"/>
    <n v="3"/>
    <x v="1"/>
    <s v="Laboratory Technician"/>
    <n v="2"/>
    <s v="Married"/>
    <x v="4"/>
    <n v="16632"/>
    <n v="9"/>
    <s v="Y"/>
    <x v="1"/>
    <n v="12"/>
    <n v="3"/>
    <n v="4"/>
    <x v="0"/>
    <n v="1"/>
    <n v="6"/>
    <n v="3"/>
    <n v="3"/>
    <n v="2"/>
    <n v="2"/>
    <x v="3"/>
    <n v="2"/>
  </r>
  <r>
    <n v="32"/>
    <x v="1"/>
    <x v="1"/>
    <n v="1005"/>
    <x v="1"/>
    <n v="2"/>
    <n v="2"/>
    <x v="0"/>
    <n v="1"/>
    <n v="8"/>
    <n v="4"/>
    <x v="1"/>
    <n v="79"/>
    <n v="3"/>
    <x v="1"/>
    <s v="Laboratory Technician"/>
    <n v="4"/>
    <s v="Single"/>
    <x v="5"/>
    <n v="11864"/>
    <n v="0"/>
    <s v="Y"/>
    <x v="1"/>
    <n v="13"/>
    <n v="3"/>
    <n v="3"/>
    <x v="0"/>
    <n v="0"/>
    <n v="8"/>
    <n v="2"/>
    <n v="2"/>
    <n v="7"/>
    <n v="7"/>
    <x v="2"/>
    <n v="6"/>
  </r>
  <r>
    <n v="59"/>
    <x v="1"/>
    <x v="0"/>
    <n v="1324"/>
    <x v="1"/>
    <n v="3"/>
    <n v="3"/>
    <x v="2"/>
    <n v="1"/>
    <n v="10"/>
    <n v="3"/>
    <x v="0"/>
    <n v="81"/>
    <n v="4"/>
    <x v="1"/>
    <s v="Laboratory Technician"/>
    <n v="1"/>
    <s v="Married"/>
    <x v="6"/>
    <n v="9964"/>
    <n v="4"/>
    <s v="Y"/>
    <x v="0"/>
    <n v="20"/>
    <n v="4"/>
    <n v="1"/>
    <x v="0"/>
    <n v="3"/>
    <n v="12"/>
    <n v="3"/>
    <n v="2"/>
    <n v="1"/>
    <n v="0"/>
    <x v="0"/>
    <n v="0"/>
  </r>
  <r>
    <n v="30"/>
    <x v="1"/>
    <x v="0"/>
    <n v="1358"/>
    <x v="1"/>
    <n v="24"/>
    <n v="1"/>
    <x v="0"/>
    <n v="1"/>
    <n v="11"/>
    <n v="4"/>
    <x v="1"/>
    <n v="67"/>
    <n v="3"/>
    <x v="1"/>
    <s v="Laboratory Technician"/>
    <n v="3"/>
    <s v="Divorced"/>
    <x v="7"/>
    <n v="13335"/>
    <n v="1"/>
    <s v="Y"/>
    <x v="1"/>
    <n v="22"/>
    <n v="4"/>
    <n v="2"/>
    <x v="0"/>
    <n v="1"/>
    <n v="1"/>
    <n v="2"/>
    <n v="3"/>
    <n v="1"/>
    <n v="0"/>
    <x v="0"/>
    <n v="0"/>
  </r>
  <r>
    <n v="38"/>
    <x v="1"/>
    <x v="1"/>
    <n v="216"/>
    <x v="1"/>
    <n v="23"/>
    <n v="3"/>
    <x v="0"/>
    <n v="1"/>
    <n v="12"/>
    <n v="4"/>
    <x v="1"/>
    <n v="44"/>
    <n v="2"/>
    <x v="2"/>
    <s v="Manufacturing Director"/>
    <n v="3"/>
    <s v="Single"/>
    <x v="8"/>
    <n v="8787"/>
    <n v="0"/>
    <s v="Y"/>
    <x v="1"/>
    <n v="21"/>
    <n v="4"/>
    <n v="2"/>
    <x v="0"/>
    <n v="0"/>
    <n v="10"/>
    <n v="2"/>
    <n v="3"/>
    <n v="9"/>
    <n v="7"/>
    <x v="1"/>
    <n v="8"/>
  </r>
  <r>
    <n v="36"/>
    <x v="1"/>
    <x v="0"/>
    <n v="1299"/>
    <x v="1"/>
    <n v="27"/>
    <n v="3"/>
    <x v="2"/>
    <n v="1"/>
    <n v="13"/>
    <n v="3"/>
    <x v="1"/>
    <n v="94"/>
    <n v="3"/>
    <x v="0"/>
    <s v="Healthcare Representative"/>
    <n v="3"/>
    <s v="Married"/>
    <x v="9"/>
    <n v="16577"/>
    <n v="6"/>
    <s v="Y"/>
    <x v="1"/>
    <n v="13"/>
    <n v="3"/>
    <n v="2"/>
    <x v="0"/>
    <n v="2"/>
    <n v="17"/>
    <n v="3"/>
    <n v="2"/>
    <n v="7"/>
    <n v="7"/>
    <x v="4"/>
    <n v="7"/>
  </r>
  <r>
    <n v="35"/>
    <x v="1"/>
    <x v="0"/>
    <n v="809"/>
    <x v="1"/>
    <n v="16"/>
    <n v="3"/>
    <x v="2"/>
    <n v="1"/>
    <n v="14"/>
    <n v="1"/>
    <x v="1"/>
    <n v="84"/>
    <n v="4"/>
    <x v="1"/>
    <s v="Laboratory Technician"/>
    <n v="2"/>
    <s v="Married"/>
    <x v="10"/>
    <n v="16479"/>
    <n v="0"/>
    <s v="Y"/>
    <x v="1"/>
    <n v="13"/>
    <n v="3"/>
    <n v="3"/>
    <x v="0"/>
    <n v="1"/>
    <n v="6"/>
    <n v="5"/>
    <n v="3"/>
    <n v="5"/>
    <n v="4"/>
    <x v="0"/>
    <n v="3"/>
  </r>
  <r>
    <n v="29"/>
    <x v="1"/>
    <x v="0"/>
    <n v="153"/>
    <x v="1"/>
    <n v="15"/>
    <n v="2"/>
    <x v="0"/>
    <n v="1"/>
    <n v="15"/>
    <n v="4"/>
    <x v="0"/>
    <n v="49"/>
    <n v="2"/>
    <x v="0"/>
    <s v="Laboratory Technician"/>
    <n v="3"/>
    <s v="Single"/>
    <x v="11"/>
    <n v="12682"/>
    <n v="0"/>
    <s v="Y"/>
    <x v="0"/>
    <n v="12"/>
    <n v="3"/>
    <n v="4"/>
    <x v="0"/>
    <n v="0"/>
    <n v="10"/>
    <n v="3"/>
    <n v="3"/>
    <n v="9"/>
    <n v="5"/>
    <x v="0"/>
    <n v="8"/>
  </r>
  <r>
    <n v="31"/>
    <x v="1"/>
    <x v="0"/>
    <n v="670"/>
    <x v="1"/>
    <n v="26"/>
    <n v="1"/>
    <x v="0"/>
    <n v="1"/>
    <n v="16"/>
    <n v="1"/>
    <x v="1"/>
    <n v="31"/>
    <n v="3"/>
    <x v="1"/>
    <s v="Research Scientist"/>
    <n v="3"/>
    <s v="Divorced"/>
    <x v="12"/>
    <n v="15170"/>
    <n v="1"/>
    <s v="Y"/>
    <x v="1"/>
    <n v="17"/>
    <n v="3"/>
    <n v="4"/>
    <x v="0"/>
    <n v="1"/>
    <n v="5"/>
    <n v="1"/>
    <n v="2"/>
    <n v="5"/>
    <n v="2"/>
    <x v="5"/>
    <n v="3"/>
  </r>
  <r>
    <n v="34"/>
    <x v="1"/>
    <x v="0"/>
    <n v="1346"/>
    <x v="1"/>
    <n v="19"/>
    <n v="2"/>
    <x v="2"/>
    <n v="1"/>
    <n v="18"/>
    <n v="2"/>
    <x v="1"/>
    <n v="93"/>
    <n v="3"/>
    <x v="1"/>
    <s v="Laboratory Technician"/>
    <n v="4"/>
    <s v="Divorced"/>
    <x v="13"/>
    <n v="8758"/>
    <n v="0"/>
    <s v="Y"/>
    <x v="1"/>
    <n v="11"/>
    <n v="3"/>
    <n v="3"/>
    <x v="0"/>
    <n v="1"/>
    <n v="3"/>
    <n v="2"/>
    <n v="3"/>
    <n v="2"/>
    <n v="2"/>
    <x v="1"/>
    <n v="2"/>
  </r>
  <r>
    <n v="28"/>
    <x v="0"/>
    <x v="0"/>
    <n v="103"/>
    <x v="1"/>
    <n v="24"/>
    <n v="3"/>
    <x v="0"/>
    <n v="1"/>
    <n v="19"/>
    <n v="3"/>
    <x v="1"/>
    <n v="50"/>
    <n v="2"/>
    <x v="1"/>
    <s v="Laboratory Technician"/>
    <n v="3"/>
    <s v="Single"/>
    <x v="14"/>
    <n v="12947"/>
    <n v="5"/>
    <s v="Y"/>
    <x v="0"/>
    <n v="14"/>
    <n v="3"/>
    <n v="2"/>
    <x v="0"/>
    <n v="0"/>
    <n v="6"/>
    <n v="4"/>
    <n v="3"/>
    <n v="4"/>
    <n v="2"/>
    <x v="0"/>
    <n v="3"/>
  </r>
  <r>
    <n v="29"/>
    <x v="1"/>
    <x v="0"/>
    <n v="1389"/>
    <x v="1"/>
    <n v="21"/>
    <n v="4"/>
    <x v="0"/>
    <n v="1"/>
    <n v="20"/>
    <n v="2"/>
    <x v="0"/>
    <n v="51"/>
    <n v="4"/>
    <x v="2"/>
    <s v="Manufacturing Director"/>
    <n v="1"/>
    <s v="Divorced"/>
    <x v="15"/>
    <n v="10195"/>
    <n v="1"/>
    <s v="Y"/>
    <x v="1"/>
    <n v="11"/>
    <n v="3"/>
    <n v="3"/>
    <x v="0"/>
    <n v="1"/>
    <n v="10"/>
    <n v="1"/>
    <n v="3"/>
    <n v="10"/>
    <n v="9"/>
    <x v="6"/>
    <n v="8"/>
  </r>
  <r>
    <n v="32"/>
    <x v="1"/>
    <x v="0"/>
    <n v="334"/>
    <x v="1"/>
    <n v="5"/>
    <n v="2"/>
    <x v="0"/>
    <n v="1"/>
    <n v="21"/>
    <n v="1"/>
    <x v="1"/>
    <n v="80"/>
    <n v="4"/>
    <x v="1"/>
    <s v="Research Scientist"/>
    <n v="2"/>
    <s v="Divorced"/>
    <x v="16"/>
    <n v="15053"/>
    <n v="0"/>
    <s v="Y"/>
    <x v="0"/>
    <n v="12"/>
    <n v="3"/>
    <n v="4"/>
    <x v="0"/>
    <n v="2"/>
    <n v="7"/>
    <n v="5"/>
    <n v="2"/>
    <n v="6"/>
    <n v="2"/>
    <x v="0"/>
    <n v="5"/>
  </r>
  <r>
    <n v="22"/>
    <x v="1"/>
    <x v="2"/>
    <n v="1123"/>
    <x v="1"/>
    <n v="16"/>
    <n v="2"/>
    <x v="2"/>
    <n v="1"/>
    <n v="22"/>
    <n v="4"/>
    <x v="1"/>
    <n v="96"/>
    <n v="4"/>
    <x v="1"/>
    <s v="Laboratory Technician"/>
    <n v="4"/>
    <s v="Divorced"/>
    <x v="17"/>
    <n v="7324"/>
    <n v="1"/>
    <s v="Y"/>
    <x v="0"/>
    <n v="13"/>
    <n v="3"/>
    <n v="2"/>
    <x v="0"/>
    <n v="2"/>
    <n v="1"/>
    <n v="2"/>
    <n v="2"/>
    <n v="1"/>
    <n v="0"/>
    <x v="0"/>
    <n v="0"/>
  </r>
  <r>
    <n v="53"/>
    <x v="1"/>
    <x v="0"/>
    <n v="1219"/>
    <x v="0"/>
    <n v="2"/>
    <n v="4"/>
    <x v="0"/>
    <n v="1"/>
    <n v="23"/>
    <n v="1"/>
    <x v="0"/>
    <n v="78"/>
    <n v="2"/>
    <x v="3"/>
    <s v="Manager"/>
    <n v="4"/>
    <s v="Married"/>
    <x v="18"/>
    <n v="22021"/>
    <n v="2"/>
    <s v="Y"/>
    <x v="1"/>
    <n v="16"/>
    <n v="3"/>
    <n v="3"/>
    <x v="0"/>
    <n v="0"/>
    <n v="31"/>
    <n v="3"/>
    <n v="3"/>
    <n v="25"/>
    <n v="8"/>
    <x v="2"/>
    <n v="7"/>
  </r>
  <r>
    <n v="38"/>
    <x v="1"/>
    <x v="0"/>
    <n v="371"/>
    <x v="1"/>
    <n v="2"/>
    <n v="3"/>
    <x v="0"/>
    <n v="1"/>
    <n v="24"/>
    <n v="4"/>
    <x v="1"/>
    <n v="45"/>
    <n v="3"/>
    <x v="1"/>
    <s v="Research Scientist"/>
    <n v="4"/>
    <s v="Single"/>
    <x v="19"/>
    <n v="4306"/>
    <n v="5"/>
    <s v="Y"/>
    <x v="0"/>
    <n v="11"/>
    <n v="3"/>
    <n v="3"/>
    <x v="0"/>
    <n v="0"/>
    <n v="6"/>
    <n v="3"/>
    <n v="3"/>
    <n v="3"/>
    <n v="2"/>
    <x v="1"/>
    <n v="2"/>
  </r>
  <r>
    <n v="24"/>
    <x v="1"/>
    <x v="2"/>
    <n v="673"/>
    <x v="1"/>
    <n v="11"/>
    <n v="2"/>
    <x v="1"/>
    <n v="1"/>
    <n v="26"/>
    <n v="1"/>
    <x v="0"/>
    <n v="96"/>
    <n v="4"/>
    <x v="0"/>
    <s v="Manufacturing Director"/>
    <n v="3"/>
    <s v="Divorced"/>
    <x v="20"/>
    <n v="8232"/>
    <n v="0"/>
    <s v="Y"/>
    <x v="1"/>
    <n v="18"/>
    <n v="3"/>
    <n v="4"/>
    <x v="0"/>
    <n v="1"/>
    <n v="5"/>
    <n v="5"/>
    <n v="2"/>
    <n v="4"/>
    <n v="2"/>
    <x v="1"/>
    <n v="3"/>
  </r>
  <r>
    <n v="36"/>
    <x v="0"/>
    <x v="0"/>
    <n v="1218"/>
    <x v="0"/>
    <n v="9"/>
    <n v="4"/>
    <x v="0"/>
    <n v="1"/>
    <n v="27"/>
    <n v="3"/>
    <x v="1"/>
    <n v="82"/>
    <n v="2"/>
    <x v="1"/>
    <s v="Sales Representative"/>
    <n v="1"/>
    <s v="Single"/>
    <x v="21"/>
    <n v="6986"/>
    <n v="7"/>
    <s v="Y"/>
    <x v="1"/>
    <n v="23"/>
    <n v="4"/>
    <n v="2"/>
    <x v="0"/>
    <n v="0"/>
    <n v="10"/>
    <n v="4"/>
    <n v="3"/>
    <n v="5"/>
    <n v="3"/>
    <x v="0"/>
    <n v="3"/>
  </r>
  <r>
    <n v="34"/>
    <x v="1"/>
    <x v="0"/>
    <n v="419"/>
    <x v="1"/>
    <n v="7"/>
    <n v="4"/>
    <x v="0"/>
    <n v="1"/>
    <n v="28"/>
    <n v="1"/>
    <x v="0"/>
    <n v="53"/>
    <n v="3"/>
    <x v="2"/>
    <s v="Research Director"/>
    <n v="2"/>
    <s v="Single"/>
    <x v="22"/>
    <n v="21293"/>
    <n v="0"/>
    <s v="Y"/>
    <x v="1"/>
    <n v="11"/>
    <n v="3"/>
    <n v="3"/>
    <x v="0"/>
    <n v="0"/>
    <n v="13"/>
    <n v="4"/>
    <n v="3"/>
    <n v="12"/>
    <n v="6"/>
    <x v="3"/>
    <n v="11"/>
  </r>
  <r>
    <n v="21"/>
    <x v="1"/>
    <x v="0"/>
    <n v="391"/>
    <x v="1"/>
    <n v="15"/>
    <n v="2"/>
    <x v="0"/>
    <n v="1"/>
    <n v="30"/>
    <n v="3"/>
    <x v="1"/>
    <n v="96"/>
    <n v="3"/>
    <x v="1"/>
    <s v="Research Scientist"/>
    <n v="4"/>
    <s v="Single"/>
    <x v="23"/>
    <n v="19281"/>
    <n v="1"/>
    <s v="Y"/>
    <x v="1"/>
    <n v="14"/>
    <n v="3"/>
    <n v="4"/>
    <x v="0"/>
    <n v="0"/>
    <n v="0"/>
    <n v="6"/>
    <n v="3"/>
    <n v="0"/>
    <n v="0"/>
    <x v="0"/>
    <n v="0"/>
  </r>
  <r>
    <n v="34"/>
    <x v="0"/>
    <x v="0"/>
    <n v="699"/>
    <x v="1"/>
    <n v="6"/>
    <n v="1"/>
    <x v="2"/>
    <n v="1"/>
    <n v="31"/>
    <n v="2"/>
    <x v="1"/>
    <n v="83"/>
    <n v="3"/>
    <x v="1"/>
    <s v="Research Scientist"/>
    <n v="1"/>
    <s v="Single"/>
    <x v="24"/>
    <n v="17102"/>
    <n v="2"/>
    <s v="Y"/>
    <x v="1"/>
    <n v="11"/>
    <n v="3"/>
    <n v="3"/>
    <x v="0"/>
    <n v="0"/>
    <n v="8"/>
    <n v="2"/>
    <n v="3"/>
    <n v="4"/>
    <n v="2"/>
    <x v="1"/>
    <n v="3"/>
  </r>
  <r>
    <n v="53"/>
    <x v="1"/>
    <x v="0"/>
    <n v="1282"/>
    <x v="1"/>
    <n v="5"/>
    <n v="3"/>
    <x v="1"/>
    <n v="1"/>
    <n v="32"/>
    <n v="3"/>
    <x v="0"/>
    <n v="58"/>
    <n v="3"/>
    <x v="4"/>
    <s v="Manager"/>
    <n v="3"/>
    <s v="Divorced"/>
    <x v="25"/>
    <n v="10735"/>
    <n v="4"/>
    <s v="Y"/>
    <x v="1"/>
    <n v="11"/>
    <n v="3"/>
    <n v="4"/>
    <x v="0"/>
    <n v="1"/>
    <n v="26"/>
    <n v="3"/>
    <n v="2"/>
    <n v="14"/>
    <n v="13"/>
    <x v="5"/>
    <n v="8"/>
  </r>
  <r>
    <n v="32"/>
    <x v="0"/>
    <x v="1"/>
    <n v="1125"/>
    <x v="1"/>
    <n v="16"/>
    <n v="1"/>
    <x v="0"/>
    <n v="1"/>
    <n v="33"/>
    <n v="2"/>
    <x v="0"/>
    <n v="72"/>
    <n v="1"/>
    <x v="1"/>
    <s v="Research Scientist"/>
    <n v="1"/>
    <s v="Single"/>
    <x v="26"/>
    <n v="4681"/>
    <n v="1"/>
    <s v="Y"/>
    <x v="0"/>
    <n v="22"/>
    <n v="4"/>
    <n v="2"/>
    <x v="0"/>
    <n v="0"/>
    <n v="10"/>
    <n v="5"/>
    <n v="3"/>
    <n v="10"/>
    <n v="2"/>
    <x v="7"/>
    <n v="7"/>
  </r>
  <r>
    <n v="42"/>
    <x v="1"/>
    <x v="0"/>
    <n v="691"/>
    <x v="0"/>
    <n v="8"/>
    <n v="4"/>
    <x v="3"/>
    <n v="1"/>
    <n v="35"/>
    <n v="3"/>
    <x v="1"/>
    <n v="48"/>
    <n v="3"/>
    <x v="0"/>
    <s v="Sales Executive"/>
    <n v="2"/>
    <s v="Married"/>
    <x v="27"/>
    <n v="21173"/>
    <n v="0"/>
    <s v="Y"/>
    <x v="1"/>
    <n v="11"/>
    <n v="3"/>
    <n v="4"/>
    <x v="0"/>
    <n v="1"/>
    <n v="10"/>
    <n v="2"/>
    <n v="3"/>
    <n v="9"/>
    <n v="7"/>
    <x v="5"/>
    <n v="2"/>
  </r>
  <r>
    <n v="44"/>
    <x v="1"/>
    <x v="0"/>
    <n v="477"/>
    <x v="1"/>
    <n v="7"/>
    <n v="4"/>
    <x v="2"/>
    <n v="1"/>
    <n v="36"/>
    <n v="1"/>
    <x v="0"/>
    <n v="42"/>
    <n v="2"/>
    <x v="2"/>
    <s v="Healthcare Representative"/>
    <n v="4"/>
    <s v="Married"/>
    <x v="28"/>
    <n v="2094"/>
    <n v="3"/>
    <s v="Y"/>
    <x v="1"/>
    <n v="14"/>
    <n v="3"/>
    <n v="4"/>
    <x v="0"/>
    <n v="1"/>
    <n v="24"/>
    <n v="4"/>
    <n v="3"/>
    <n v="22"/>
    <n v="6"/>
    <x v="8"/>
    <n v="17"/>
  </r>
  <r>
    <n v="46"/>
    <x v="1"/>
    <x v="0"/>
    <n v="705"/>
    <x v="0"/>
    <n v="2"/>
    <n v="4"/>
    <x v="3"/>
    <n v="1"/>
    <n v="38"/>
    <n v="2"/>
    <x v="0"/>
    <n v="83"/>
    <n v="3"/>
    <x v="4"/>
    <s v="Manager"/>
    <n v="1"/>
    <s v="Single"/>
    <x v="29"/>
    <n v="22822"/>
    <n v="3"/>
    <s v="Y"/>
    <x v="1"/>
    <n v="12"/>
    <n v="3"/>
    <n v="4"/>
    <x v="0"/>
    <n v="0"/>
    <n v="22"/>
    <n v="2"/>
    <n v="2"/>
    <n v="2"/>
    <n v="2"/>
    <x v="3"/>
    <n v="1"/>
  </r>
  <r>
    <n v="33"/>
    <x v="1"/>
    <x v="0"/>
    <n v="924"/>
    <x v="1"/>
    <n v="2"/>
    <n v="3"/>
    <x v="2"/>
    <n v="1"/>
    <n v="39"/>
    <n v="3"/>
    <x v="1"/>
    <n v="78"/>
    <n v="3"/>
    <x v="1"/>
    <s v="Laboratory Technician"/>
    <n v="4"/>
    <s v="Single"/>
    <x v="30"/>
    <n v="6670"/>
    <n v="4"/>
    <s v="Y"/>
    <x v="1"/>
    <n v="11"/>
    <n v="3"/>
    <n v="4"/>
    <x v="0"/>
    <n v="0"/>
    <n v="7"/>
    <n v="3"/>
    <n v="3"/>
    <n v="1"/>
    <n v="1"/>
    <x v="0"/>
    <n v="0"/>
  </r>
  <r>
    <n v="44"/>
    <x v="1"/>
    <x v="0"/>
    <n v="1459"/>
    <x v="1"/>
    <n v="10"/>
    <n v="4"/>
    <x v="1"/>
    <n v="1"/>
    <n v="40"/>
    <n v="4"/>
    <x v="1"/>
    <n v="41"/>
    <n v="3"/>
    <x v="0"/>
    <s v="Healthcare Representative"/>
    <n v="4"/>
    <s v="Married"/>
    <x v="31"/>
    <n v="19121"/>
    <n v="2"/>
    <s v="Y"/>
    <x v="0"/>
    <n v="13"/>
    <n v="3"/>
    <n v="4"/>
    <x v="0"/>
    <n v="0"/>
    <n v="9"/>
    <n v="5"/>
    <n v="4"/>
    <n v="4"/>
    <n v="2"/>
    <x v="1"/>
    <n v="3"/>
  </r>
  <r>
    <n v="30"/>
    <x v="1"/>
    <x v="0"/>
    <n v="125"/>
    <x v="1"/>
    <n v="9"/>
    <n v="2"/>
    <x v="2"/>
    <n v="1"/>
    <n v="41"/>
    <n v="4"/>
    <x v="1"/>
    <n v="83"/>
    <n v="2"/>
    <x v="1"/>
    <s v="Laboratory Technician"/>
    <n v="3"/>
    <s v="Single"/>
    <x v="32"/>
    <n v="16117"/>
    <n v="1"/>
    <s v="Y"/>
    <x v="1"/>
    <n v="13"/>
    <n v="3"/>
    <n v="1"/>
    <x v="0"/>
    <n v="0"/>
    <n v="10"/>
    <n v="5"/>
    <n v="3"/>
    <n v="10"/>
    <n v="0"/>
    <x v="1"/>
    <n v="8"/>
  </r>
  <r>
    <n v="39"/>
    <x v="0"/>
    <x v="0"/>
    <n v="895"/>
    <x v="0"/>
    <n v="5"/>
    <n v="3"/>
    <x v="4"/>
    <n v="1"/>
    <n v="42"/>
    <n v="4"/>
    <x v="1"/>
    <n v="56"/>
    <n v="3"/>
    <x v="0"/>
    <s v="Sales Representative"/>
    <n v="4"/>
    <s v="Married"/>
    <x v="33"/>
    <n v="3335"/>
    <n v="3"/>
    <s v="Y"/>
    <x v="1"/>
    <n v="14"/>
    <n v="3"/>
    <n v="3"/>
    <x v="0"/>
    <n v="1"/>
    <n v="19"/>
    <n v="6"/>
    <n v="4"/>
    <n v="1"/>
    <n v="0"/>
    <x v="0"/>
    <n v="0"/>
  </r>
  <r>
    <n v="24"/>
    <x v="0"/>
    <x v="0"/>
    <n v="813"/>
    <x v="1"/>
    <n v="1"/>
    <n v="3"/>
    <x v="2"/>
    <n v="1"/>
    <n v="45"/>
    <n v="2"/>
    <x v="1"/>
    <n v="61"/>
    <n v="3"/>
    <x v="1"/>
    <s v="Research Scientist"/>
    <n v="4"/>
    <s v="Married"/>
    <x v="34"/>
    <n v="3020"/>
    <n v="2"/>
    <s v="Y"/>
    <x v="0"/>
    <n v="16"/>
    <n v="3"/>
    <n v="1"/>
    <x v="0"/>
    <n v="1"/>
    <n v="6"/>
    <n v="2"/>
    <n v="2"/>
    <n v="2"/>
    <n v="0"/>
    <x v="3"/>
    <n v="0"/>
  </r>
  <r>
    <n v="43"/>
    <x v="1"/>
    <x v="0"/>
    <n v="1273"/>
    <x v="1"/>
    <n v="2"/>
    <n v="2"/>
    <x v="2"/>
    <n v="1"/>
    <n v="46"/>
    <n v="4"/>
    <x v="0"/>
    <n v="72"/>
    <n v="4"/>
    <x v="1"/>
    <s v="Research Scientist"/>
    <n v="3"/>
    <s v="Divorced"/>
    <x v="35"/>
    <n v="21923"/>
    <n v="1"/>
    <s v="Y"/>
    <x v="1"/>
    <n v="12"/>
    <n v="3"/>
    <n v="4"/>
    <x v="0"/>
    <n v="2"/>
    <n v="6"/>
    <n v="3"/>
    <n v="2"/>
    <n v="5"/>
    <n v="3"/>
    <x v="1"/>
    <n v="4"/>
  </r>
  <r>
    <n v="50"/>
    <x v="0"/>
    <x v="0"/>
    <n v="869"/>
    <x v="0"/>
    <n v="3"/>
    <n v="2"/>
    <x v="3"/>
    <n v="1"/>
    <n v="47"/>
    <n v="1"/>
    <x v="1"/>
    <n v="86"/>
    <n v="2"/>
    <x v="1"/>
    <s v="Sales Representative"/>
    <n v="3"/>
    <s v="Married"/>
    <x v="36"/>
    <n v="3810"/>
    <n v="1"/>
    <s v="Y"/>
    <x v="0"/>
    <n v="14"/>
    <n v="3"/>
    <n v="3"/>
    <x v="0"/>
    <n v="0"/>
    <n v="3"/>
    <n v="2"/>
    <n v="3"/>
    <n v="3"/>
    <n v="2"/>
    <x v="0"/>
    <n v="2"/>
  </r>
  <r>
    <n v="35"/>
    <x v="1"/>
    <x v="0"/>
    <n v="890"/>
    <x v="0"/>
    <n v="2"/>
    <n v="3"/>
    <x v="3"/>
    <n v="1"/>
    <n v="49"/>
    <n v="4"/>
    <x v="0"/>
    <n v="97"/>
    <n v="3"/>
    <x v="1"/>
    <s v="Sales Representative"/>
    <n v="4"/>
    <s v="Married"/>
    <x v="37"/>
    <n v="9687"/>
    <n v="1"/>
    <s v="Y"/>
    <x v="1"/>
    <n v="13"/>
    <n v="3"/>
    <n v="1"/>
    <x v="0"/>
    <n v="0"/>
    <n v="2"/>
    <n v="3"/>
    <n v="3"/>
    <n v="2"/>
    <n v="2"/>
    <x v="3"/>
    <n v="2"/>
  </r>
  <r>
    <n v="36"/>
    <x v="1"/>
    <x v="0"/>
    <n v="852"/>
    <x v="1"/>
    <n v="5"/>
    <n v="4"/>
    <x v="0"/>
    <n v="1"/>
    <n v="51"/>
    <n v="2"/>
    <x v="0"/>
    <n v="82"/>
    <n v="2"/>
    <x v="1"/>
    <s v="Research Scientist"/>
    <n v="1"/>
    <s v="Married"/>
    <x v="38"/>
    <n v="13072"/>
    <n v="9"/>
    <s v="Y"/>
    <x v="0"/>
    <n v="14"/>
    <n v="3"/>
    <n v="4"/>
    <x v="0"/>
    <n v="1"/>
    <n v="6"/>
    <n v="3"/>
    <n v="4"/>
    <n v="1"/>
    <n v="1"/>
    <x v="0"/>
    <n v="0"/>
  </r>
  <r>
    <n v="33"/>
    <x v="1"/>
    <x v="1"/>
    <n v="1141"/>
    <x v="0"/>
    <n v="1"/>
    <n v="3"/>
    <x v="0"/>
    <n v="1"/>
    <n v="52"/>
    <n v="3"/>
    <x v="0"/>
    <n v="42"/>
    <n v="4"/>
    <x v="0"/>
    <s v="Sales Executive"/>
    <n v="1"/>
    <s v="Married"/>
    <x v="39"/>
    <n v="3193"/>
    <n v="2"/>
    <s v="Y"/>
    <x v="1"/>
    <n v="19"/>
    <n v="3"/>
    <n v="1"/>
    <x v="0"/>
    <n v="2"/>
    <n v="10"/>
    <n v="3"/>
    <n v="3"/>
    <n v="5"/>
    <n v="3"/>
    <x v="1"/>
    <n v="3"/>
  </r>
  <r>
    <n v="35"/>
    <x v="1"/>
    <x v="0"/>
    <n v="464"/>
    <x v="1"/>
    <n v="4"/>
    <n v="2"/>
    <x v="1"/>
    <n v="1"/>
    <n v="53"/>
    <n v="3"/>
    <x v="1"/>
    <n v="75"/>
    <n v="3"/>
    <x v="1"/>
    <s v="Laboratory Technician"/>
    <n v="4"/>
    <s v="Divorced"/>
    <x v="40"/>
    <n v="10910"/>
    <n v="1"/>
    <s v="Y"/>
    <x v="1"/>
    <n v="12"/>
    <n v="3"/>
    <n v="3"/>
    <x v="0"/>
    <n v="1"/>
    <n v="1"/>
    <n v="3"/>
    <n v="3"/>
    <n v="1"/>
    <n v="0"/>
    <x v="0"/>
    <n v="0"/>
  </r>
  <r>
    <n v="27"/>
    <x v="1"/>
    <x v="0"/>
    <n v="1240"/>
    <x v="1"/>
    <n v="2"/>
    <n v="4"/>
    <x v="0"/>
    <n v="1"/>
    <n v="54"/>
    <n v="4"/>
    <x v="0"/>
    <n v="33"/>
    <n v="3"/>
    <x v="1"/>
    <s v="Laboratory Technician"/>
    <n v="1"/>
    <s v="Divorced"/>
    <x v="41"/>
    <n v="19715"/>
    <n v="1"/>
    <s v="Y"/>
    <x v="1"/>
    <n v="13"/>
    <n v="3"/>
    <n v="4"/>
    <x v="0"/>
    <n v="1"/>
    <n v="1"/>
    <n v="6"/>
    <n v="3"/>
    <n v="1"/>
    <n v="0"/>
    <x v="0"/>
    <n v="0"/>
  </r>
  <r>
    <n v="26"/>
    <x v="0"/>
    <x v="0"/>
    <n v="1357"/>
    <x v="1"/>
    <n v="25"/>
    <n v="3"/>
    <x v="0"/>
    <n v="1"/>
    <n v="55"/>
    <n v="1"/>
    <x v="1"/>
    <n v="48"/>
    <n v="1"/>
    <x v="1"/>
    <s v="Laboratory Technician"/>
    <n v="3"/>
    <s v="Single"/>
    <x v="34"/>
    <n v="10558"/>
    <n v="1"/>
    <s v="Y"/>
    <x v="1"/>
    <n v="12"/>
    <n v="3"/>
    <n v="3"/>
    <x v="0"/>
    <n v="0"/>
    <n v="1"/>
    <n v="2"/>
    <n v="2"/>
    <n v="1"/>
    <n v="0"/>
    <x v="0"/>
    <n v="1"/>
  </r>
  <r>
    <n v="27"/>
    <x v="1"/>
    <x v="1"/>
    <n v="994"/>
    <x v="0"/>
    <n v="8"/>
    <n v="3"/>
    <x v="0"/>
    <n v="1"/>
    <n v="56"/>
    <n v="4"/>
    <x v="1"/>
    <n v="37"/>
    <n v="3"/>
    <x v="2"/>
    <s v="Sales Executive"/>
    <n v="3"/>
    <s v="Single"/>
    <x v="42"/>
    <n v="2975"/>
    <n v="1"/>
    <s v="Y"/>
    <x v="1"/>
    <n v="15"/>
    <n v="3"/>
    <n v="4"/>
    <x v="0"/>
    <n v="0"/>
    <n v="9"/>
    <n v="0"/>
    <n v="3"/>
    <n v="9"/>
    <n v="8"/>
    <x v="1"/>
    <n v="7"/>
  </r>
  <r>
    <n v="30"/>
    <x v="1"/>
    <x v="1"/>
    <n v="721"/>
    <x v="1"/>
    <n v="1"/>
    <n v="2"/>
    <x v="2"/>
    <n v="1"/>
    <n v="57"/>
    <n v="3"/>
    <x v="0"/>
    <n v="58"/>
    <n v="3"/>
    <x v="0"/>
    <s v="Laboratory Technician"/>
    <n v="4"/>
    <s v="Single"/>
    <x v="20"/>
    <n v="10781"/>
    <n v="1"/>
    <s v="Y"/>
    <x v="1"/>
    <n v="23"/>
    <n v="4"/>
    <n v="4"/>
    <x v="0"/>
    <n v="0"/>
    <n v="12"/>
    <n v="2"/>
    <n v="3"/>
    <n v="12"/>
    <n v="8"/>
    <x v="2"/>
    <n v="7"/>
  </r>
  <r>
    <n v="41"/>
    <x v="0"/>
    <x v="0"/>
    <n v="1360"/>
    <x v="1"/>
    <n v="12"/>
    <n v="3"/>
    <x v="4"/>
    <n v="1"/>
    <n v="58"/>
    <n v="2"/>
    <x v="0"/>
    <n v="49"/>
    <n v="3"/>
    <x v="4"/>
    <s v="Research Director"/>
    <n v="3"/>
    <s v="Married"/>
    <x v="43"/>
    <n v="16280"/>
    <n v="1"/>
    <s v="Y"/>
    <x v="1"/>
    <n v="12"/>
    <n v="3"/>
    <n v="4"/>
    <x v="0"/>
    <n v="0"/>
    <n v="23"/>
    <n v="0"/>
    <n v="3"/>
    <n v="22"/>
    <n v="15"/>
    <x v="9"/>
    <n v="8"/>
  </r>
  <r>
    <n v="34"/>
    <x v="1"/>
    <x v="2"/>
    <n v="1065"/>
    <x v="0"/>
    <n v="23"/>
    <n v="4"/>
    <x v="3"/>
    <n v="1"/>
    <n v="60"/>
    <n v="2"/>
    <x v="1"/>
    <n v="72"/>
    <n v="3"/>
    <x v="0"/>
    <s v="Sales Executive"/>
    <n v="3"/>
    <s v="Single"/>
    <x v="44"/>
    <n v="10034"/>
    <n v="0"/>
    <s v="Y"/>
    <x v="1"/>
    <n v="20"/>
    <n v="4"/>
    <n v="3"/>
    <x v="0"/>
    <n v="0"/>
    <n v="10"/>
    <n v="2"/>
    <n v="3"/>
    <n v="9"/>
    <n v="5"/>
    <x v="6"/>
    <n v="7"/>
  </r>
  <r>
    <n v="37"/>
    <x v="1"/>
    <x v="0"/>
    <n v="408"/>
    <x v="1"/>
    <n v="19"/>
    <n v="2"/>
    <x v="0"/>
    <n v="1"/>
    <n v="61"/>
    <n v="2"/>
    <x v="1"/>
    <n v="73"/>
    <n v="3"/>
    <x v="1"/>
    <s v="Research Scientist"/>
    <n v="2"/>
    <s v="Married"/>
    <x v="45"/>
    <n v="10227"/>
    <n v="4"/>
    <s v="Y"/>
    <x v="1"/>
    <n v="21"/>
    <n v="4"/>
    <n v="1"/>
    <x v="0"/>
    <n v="0"/>
    <n v="8"/>
    <n v="1"/>
    <n v="3"/>
    <n v="1"/>
    <n v="0"/>
    <x v="0"/>
    <n v="0"/>
  </r>
  <r>
    <n v="46"/>
    <x v="1"/>
    <x v="1"/>
    <n v="1211"/>
    <x v="0"/>
    <n v="5"/>
    <n v="4"/>
    <x v="3"/>
    <n v="1"/>
    <n v="62"/>
    <n v="1"/>
    <x v="1"/>
    <n v="98"/>
    <n v="3"/>
    <x v="0"/>
    <s v="Sales Executive"/>
    <n v="4"/>
    <s v="Single"/>
    <x v="46"/>
    <n v="20445"/>
    <n v="4"/>
    <s v="Y"/>
    <x v="0"/>
    <n v="21"/>
    <n v="4"/>
    <n v="3"/>
    <x v="0"/>
    <n v="0"/>
    <n v="14"/>
    <n v="4"/>
    <n v="3"/>
    <n v="9"/>
    <n v="6"/>
    <x v="0"/>
    <n v="8"/>
  </r>
  <r>
    <n v="35"/>
    <x v="1"/>
    <x v="0"/>
    <n v="1229"/>
    <x v="1"/>
    <n v="8"/>
    <n v="1"/>
    <x v="0"/>
    <n v="1"/>
    <n v="63"/>
    <n v="4"/>
    <x v="1"/>
    <n v="36"/>
    <n v="4"/>
    <x v="1"/>
    <s v="Laboratory Technician"/>
    <n v="4"/>
    <s v="Married"/>
    <x v="47"/>
    <n v="4892"/>
    <n v="1"/>
    <s v="Y"/>
    <x v="1"/>
    <n v="19"/>
    <n v="3"/>
    <n v="4"/>
    <x v="0"/>
    <n v="0"/>
    <n v="1"/>
    <n v="2"/>
    <n v="3"/>
    <n v="1"/>
    <n v="0"/>
    <x v="0"/>
    <n v="1"/>
  </r>
  <r>
    <n v="48"/>
    <x v="0"/>
    <x v="0"/>
    <n v="626"/>
    <x v="1"/>
    <n v="1"/>
    <n v="2"/>
    <x v="0"/>
    <n v="1"/>
    <n v="64"/>
    <n v="1"/>
    <x v="1"/>
    <n v="98"/>
    <n v="2"/>
    <x v="2"/>
    <s v="Laboratory Technician"/>
    <n v="3"/>
    <s v="Single"/>
    <x v="48"/>
    <n v="19294"/>
    <n v="9"/>
    <s v="Y"/>
    <x v="0"/>
    <n v="13"/>
    <n v="3"/>
    <n v="4"/>
    <x v="0"/>
    <n v="0"/>
    <n v="23"/>
    <n v="2"/>
    <n v="3"/>
    <n v="1"/>
    <n v="0"/>
    <x v="0"/>
    <n v="0"/>
  </r>
  <r>
    <n v="28"/>
    <x v="0"/>
    <x v="0"/>
    <n v="1434"/>
    <x v="1"/>
    <n v="5"/>
    <n v="4"/>
    <x v="4"/>
    <n v="1"/>
    <n v="65"/>
    <n v="3"/>
    <x v="1"/>
    <n v="50"/>
    <n v="3"/>
    <x v="1"/>
    <s v="Laboratory Technician"/>
    <n v="3"/>
    <s v="Single"/>
    <x v="49"/>
    <n v="11179"/>
    <n v="1"/>
    <s v="Y"/>
    <x v="0"/>
    <n v="13"/>
    <n v="3"/>
    <n v="3"/>
    <x v="0"/>
    <n v="0"/>
    <n v="2"/>
    <n v="3"/>
    <n v="2"/>
    <n v="2"/>
    <n v="2"/>
    <x v="3"/>
    <n v="2"/>
  </r>
  <r>
    <n v="44"/>
    <x v="1"/>
    <x v="0"/>
    <n v="1488"/>
    <x v="0"/>
    <n v="1"/>
    <n v="5"/>
    <x v="3"/>
    <n v="1"/>
    <n v="68"/>
    <n v="2"/>
    <x v="0"/>
    <n v="75"/>
    <n v="3"/>
    <x v="0"/>
    <s v="Sales Executive"/>
    <n v="1"/>
    <s v="Divorced"/>
    <x v="50"/>
    <n v="4009"/>
    <n v="5"/>
    <s v="Y"/>
    <x v="0"/>
    <n v="21"/>
    <n v="4"/>
    <n v="3"/>
    <x v="0"/>
    <n v="1"/>
    <n v="9"/>
    <n v="2"/>
    <n v="2"/>
    <n v="4"/>
    <n v="3"/>
    <x v="1"/>
    <n v="3"/>
  </r>
  <r>
    <n v="35"/>
    <x v="1"/>
    <x v="2"/>
    <n v="1097"/>
    <x v="1"/>
    <n v="11"/>
    <n v="2"/>
    <x v="2"/>
    <n v="1"/>
    <n v="70"/>
    <n v="3"/>
    <x v="1"/>
    <n v="79"/>
    <n v="2"/>
    <x v="2"/>
    <s v="Healthcare Representative"/>
    <n v="1"/>
    <s v="Married"/>
    <x v="51"/>
    <n v="8302"/>
    <n v="2"/>
    <s v="Y"/>
    <x v="0"/>
    <n v="13"/>
    <n v="3"/>
    <n v="3"/>
    <x v="0"/>
    <n v="1"/>
    <n v="10"/>
    <n v="3"/>
    <n v="3"/>
    <n v="4"/>
    <n v="0"/>
    <x v="3"/>
    <n v="3"/>
  </r>
  <r>
    <n v="26"/>
    <x v="1"/>
    <x v="0"/>
    <n v="1443"/>
    <x v="0"/>
    <n v="23"/>
    <n v="3"/>
    <x v="3"/>
    <n v="1"/>
    <n v="72"/>
    <n v="3"/>
    <x v="0"/>
    <n v="47"/>
    <n v="2"/>
    <x v="0"/>
    <s v="Sales Executive"/>
    <n v="4"/>
    <s v="Married"/>
    <x v="52"/>
    <n v="21436"/>
    <n v="7"/>
    <s v="Y"/>
    <x v="0"/>
    <n v="19"/>
    <n v="3"/>
    <n v="3"/>
    <x v="0"/>
    <n v="1"/>
    <n v="5"/>
    <n v="2"/>
    <n v="2"/>
    <n v="2"/>
    <n v="2"/>
    <x v="0"/>
    <n v="0"/>
  </r>
  <r>
    <n v="33"/>
    <x v="1"/>
    <x v="1"/>
    <n v="515"/>
    <x v="1"/>
    <n v="1"/>
    <n v="2"/>
    <x v="0"/>
    <n v="1"/>
    <n v="73"/>
    <n v="1"/>
    <x v="0"/>
    <n v="98"/>
    <n v="3"/>
    <x v="2"/>
    <s v="Research Director"/>
    <n v="4"/>
    <s v="Single"/>
    <x v="53"/>
    <n v="15146"/>
    <n v="1"/>
    <s v="Y"/>
    <x v="0"/>
    <n v="12"/>
    <n v="3"/>
    <n v="3"/>
    <x v="0"/>
    <n v="0"/>
    <n v="15"/>
    <n v="1"/>
    <n v="3"/>
    <n v="15"/>
    <n v="14"/>
    <x v="6"/>
    <n v="12"/>
  </r>
  <r>
    <n v="35"/>
    <x v="1"/>
    <x v="1"/>
    <n v="853"/>
    <x v="0"/>
    <n v="18"/>
    <n v="5"/>
    <x v="0"/>
    <n v="1"/>
    <n v="74"/>
    <n v="2"/>
    <x v="1"/>
    <n v="71"/>
    <n v="3"/>
    <x v="2"/>
    <s v="Sales Executive"/>
    <n v="1"/>
    <s v="Married"/>
    <x v="54"/>
    <n v="11031"/>
    <n v="1"/>
    <s v="Y"/>
    <x v="1"/>
    <n v="22"/>
    <n v="4"/>
    <n v="4"/>
    <x v="0"/>
    <n v="1"/>
    <n v="9"/>
    <n v="3"/>
    <n v="2"/>
    <n v="9"/>
    <n v="8"/>
    <x v="1"/>
    <n v="8"/>
  </r>
  <r>
    <n v="35"/>
    <x v="1"/>
    <x v="0"/>
    <n v="1142"/>
    <x v="1"/>
    <n v="23"/>
    <n v="4"/>
    <x v="2"/>
    <n v="1"/>
    <n v="75"/>
    <n v="3"/>
    <x v="0"/>
    <n v="30"/>
    <n v="3"/>
    <x v="1"/>
    <s v="Laboratory Technician"/>
    <n v="1"/>
    <s v="Married"/>
    <x v="55"/>
    <n v="16002"/>
    <n v="3"/>
    <s v="Y"/>
    <x v="0"/>
    <n v="15"/>
    <n v="3"/>
    <n v="3"/>
    <x v="0"/>
    <n v="1"/>
    <n v="4"/>
    <n v="3"/>
    <n v="3"/>
    <n v="2"/>
    <n v="2"/>
    <x v="3"/>
    <n v="2"/>
  </r>
  <r>
    <n v="31"/>
    <x v="1"/>
    <x v="0"/>
    <n v="655"/>
    <x v="1"/>
    <n v="7"/>
    <n v="4"/>
    <x v="0"/>
    <n v="1"/>
    <n v="76"/>
    <n v="4"/>
    <x v="1"/>
    <n v="48"/>
    <n v="3"/>
    <x v="0"/>
    <s v="Laboratory Technician"/>
    <n v="4"/>
    <s v="Divorced"/>
    <x v="56"/>
    <n v="9528"/>
    <n v="3"/>
    <s v="Y"/>
    <x v="1"/>
    <n v="22"/>
    <n v="4"/>
    <n v="4"/>
    <x v="0"/>
    <n v="1"/>
    <n v="10"/>
    <n v="3"/>
    <n v="2"/>
    <n v="7"/>
    <n v="7"/>
    <x v="1"/>
    <n v="7"/>
  </r>
  <r>
    <n v="37"/>
    <x v="1"/>
    <x v="0"/>
    <n v="1115"/>
    <x v="1"/>
    <n v="1"/>
    <n v="4"/>
    <x v="0"/>
    <n v="1"/>
    <n v="77"/>
    <n v="1"/>
    <x v="1"/>
    <n v="51"/>
    <n v="2"/>
    <x v="0"/>
    <s v="Manufacturing Director"/>
    <n v="3"/>
    <s v="Divorced"/>
    <x v="0"/>
    <n v="2689"/>
    <n v="1"/>
    <s v="Y"/>
    <x v="1"/>
    <n v="18"/>
    <n v="3"/>
    <n v="3"/>
    <x v="0"/>
    <n v="1"/>
    <n v="7"/>
    <n v="2"/>
    <n v="4"/>
    <n v="7"/>
    <n v="5"/>
    <x v="0"/>
    <n v="7"/>
  </r>
  <r>
    <n v="32"/>
    <x v="1"/>
    <x v="0"/>
    <n v="427"/>
    <x v="1"/>
    <n v="1"/>
    <n v="3"/>
    <x v="2"/>
    <n v="1"/>
    <n v="78"/>
    <n v="1"/>
    <x v="1"/>
    <n v="33"/>
    <n v="3"/>
    <x v="0"/>
    <s v="Manufacturing Director"/>
    <n v="4"/>
    <s v="Married"/>
    <x v="57"/>
    <n v="10877"/>
    <n v="1"/>
    <s v="Y"/>
    <x v="0"/>
    <n v="22"/>
    <n v="4"/>
    <n v="2"/>
    <x v="0"/>
    <n v="1"/>
    <n v="9"/>
    <n v="3"/>
    <n v="3"/>
    <n v="9"/>
    <n v="8"/>
    <x v="4"/>
    <n v="8"/>
  </r>
  <r>
    <n v="38"/>
    <x v="1"/>
    <x v="1"/>
    <n v="653"/>
    <x v="1"/>
    <n v="29"/>
    <n v="5"/>
    <x v="0"/>
    <n v="1"/>
    <n v="79"/>
    <n v="4"/>
    <x v="0"/>
    <n v="50"/>
    <n v="3"/>
    <x v="0"/>
    <s v="Laboratory Technician"/>
    <n v="4"/>
    <s v="Single"/>
    <x v="58"/>
    <n v="5456"/>
    <n v="1"/>
    <s v="Y"/>
    <x v="1"/>
    <n v="11"/>
    <n v="3"/>
    <n v="4"/>
    <x v="0"/>
    <n v="0"/>
    <n v="10"/>
    <n v="2"/>
    <n v="3"/>
    <n v="10"/>
    <n v="3"/>
    <x v="10"/>
    <n v="9"/>
  </r>
  <r>
    <n v="50"/>
    <x v="1"/>
    <x v="0"/>
    <n v="989"/>
    <x v="1"/>
    <n v="7"/>
    <n v="2"/>
    <x v="2"/>
    <n v="1"/>
    <n v="80"/>
    <n v="2"/>
    <x v="0"/>
    <n v="43"/>
    <n v="2"/>
    <x v="4"/>
    <s v="Research Director"/>
    <n v="3"/>
    <s v="Divorced"/>
    <x v="59"/>
    <n v="16701"/>
    <n v="5"/>
    <s v="Y"/>
    <x v="0"/>
    <n v="12"/>
    <n v="3"/>
    <n v="4"/>
    <x v="0"/>
    <n v="1"/>
    <n v="29"/>
    <n v="2"/>
    <n v="2"/>
    <n v="27"/>
    <n v="3"/>
    <x v="11"/>
    <n v="8"/>
  </r>
  <r>
    <n v="59"/>
    <x v="1"/>
    <x v="0"/>
    <n v="1435"/>
    <x v="0"/>
    <n v="25"/>
    <n v="3"/>
    <x v="0"/>
    <n v="1"/>
    <n v="81"/>
    <n v="1"/>
    <x v="0"/>
    <n v="99"/>
    <n v="3"/>
    <x v="2"/>
    <s v="Sales Executive"/>
    <n v="1"/>
    <s v="Single"/>
    <x v="60"/>
    <n v="2354"/>
    <n v="7"/>
    <s v="Y"/>
    <x v="1"/>
    <n v="11"/>
    <n v="3"/>
    <n v="4"/>
    <x v="0"/>
    <n v="0"/>
    <n v="28"/>
    <n v="3"/>
    <n v="2"/>
    <n v="21"/>
    <n v="16"/>
    <x v="4"/>
    <n v="9"/>
  </r>
  <r>
    <n v="36"/>
    <x v="1"/>
    <x v="0"/>
    <n v="1223"/>
    <x v="1"/>
    <n v="8"/>
    <n v="3"/>
    <x v="4"/>
    <n v="1"/>
    <n v="83"/>
    <n v="3"/>
    <x v="0"/>
    <n v="59"/>
    <n v="3"/>
    <x v="2"/>
    <s v="Healthcare Representative"/>
    <n v="3"/>
    <s v="Divorced"/>
    <x v="61"/>
    <n v="8202"/>
    <n v="1"/>
    <s v="Y"/>
    <x v="1"/>
    <n v="13"/>
    <n v="3"/>
    <n v="2"/>
    <x v="0"/>
    <n v="3"/>
    <n v="17"/>
    <n v="2"/>
    <n v="3"/>
    <n v="17"/>
    <n v="14"/>
    <x v="12"/>
    <n v="8"/>
  </r>
  <r>
    <n v="55"/>
    <x v="1"/>
    <x v="0"/>
    <n v="836"/>
    <x v="1"/>
    <n v="8"/>
    <n v="3"/>
    <x v="2"/>
    <n v="1"/>
    <n v="84"/>
    <n v="4"/>
    <x v="0"/>
    <n v="33"/>
    <n v="3"/>
    <x v="3"/>
    <s v="Manager"/>
    <n v="3"/>
    <s v="Divorced"/>
    <x v="62"/>
    <n v="19730"/>
    <n v="2"/>
    <s v="Y"/>
    <x v="0"/>
    <n v="14"/>
    <n v="3"/>
    <n v="3"/>
    <x v="0"/>
    <n v="3"/>
    <n v="21"/>
    <n v="2"/>
    <n v="3"/>
    <n v="5"/>
    <n v="0"/>
    <x v="0"/>
    <n v="2"/>
  </r>
  <r>
    <n v="36"/>
    <x v="1"/>
    <x v="1"/>
    <n v="1195"/>
    <x v="1"/>
    <n v="11"/>
    <n v="3"/>
    <x v="0"/>
    <n v="1"/>
    <n v="85"/>
    <n v="2"/>
    <x v="1"/>
    <n v="95"/>
    <n v="2"/>
    <x v="0"/>
    <s v="Manufacturing Director"/>
    <n v="2"/>
    <s v="Single"/>
    <x v="63"/>
    <n v="22656"/>
    <n v="1"/>
    <s v="Y"/>
    <x v="1"/>
    <n v="13"/>
    <n v="3"/>
    <n v="3"/>
    <x v="0"/>
    <n v="0"/>
    <n v="6"/>
    <n v="3"/>
    <n v="3"/>
    <n v="6"/>
    <n v="5"/>
    <x v="0"/>
    <n v="3"/>
  </r>
  <r>
    <n v="45"/>
    <x v="1"/>
    <x v="0"/>
    <n v="1339"/>
    <x v="1"/>
    <n v="7"/>
    <n v="3"/>
    <x v="0"/>
    <n v="1"/>
    <n v="86"/>
    <n v="2"/>
    <x v="1"/>
    <n v="59"/>
    <n v="3"/>
    <x v="2"/>
    <s v="Research Scientist"/>
    <n v="1"/>
    <s v="Divorced"/>
    <x v="64"/>
    <n v="18787"/>
    <n v="2"/>
    <s v="Y"/>
    <x v="1"/>
    <n v="17"/>
    <n v="3"/>
    <n v="3"/>
    <x v="0"/>
    <n v="1"/>
    <n v="25"/>
    <n v="2"/>
    <n v="3"/>
    <n v="1"/>
    <n v="0"/>
    <x v="0"/>
    <n v="0"/>
  </r>
  <r>
    <n v="35"/>
    <x v="1"/>
    <x v="1"/>
    <n v="664"/>
    <x v="1"/>
    <n v="1"/>
    <n v="3"/>
    <x v="2"/>
    <n v="1"/>
    <n v="88"/>
    <n v="2"/>
    <x v="1"/>
    <n v="79"/>
    <n v="3"/>
    <x v="1"/>
    <s v="Research Scientist"/>
    <n v="1"/>
    <s v="Married"/>
    <x v="65"/>
    <n v="5868"/>
    <n v="4"/>
    <s v="Y"/>
    <x v="1"/>
    <n v="13"/>
    <n v="3"/>
    <n v="4"/>
    <x v="0"/>
    <n v="1"/>
    <n v="5"/>
    <n v="2"/>
    <n v="2"/>
    <n v="3"/>
    <n v="2"/>
    <x v="1"/>
    <n v="2"/>
  </r>
  <r>
    <n v="36"/>
    <x v="0"/>
    <x v="0"/>
    <n v="318"/>
    <x v="1"/>
    <n v="9"/>
    <n v="3"/>
    <x v="2"/>
    <n v="1"/>
    <n v="90"/>
    <n v="4"/>
    <x v="1"/>
    <n v="79"/>
    <n v="2"/>
    <x v="1"/>
    <s v="Research Scientist"/>
    <n v="3"/>
    <s v="Married"/>
    <x v="66"/>
    <n v="21777"/>
    <n v="0"/>
    <s v="Y"/>
    <x v="0"/>
    <n v="17"/>
    <n v="3"/>
    <n v="1"/>
    <x v="0"/>
    <n v="1"/>
    <n v="2"/>
    <n v="0"/>
    <n v="2"/>
    <n v="1"/>
    <n v="0"/>
    <x v="0"/>
    <n v="0"/>
  </r>
  <r>
    <n v="59"/>
    <x v="1"/>
    <x v="1"/>
    <n v="1225"/>
    <x v="0"/>
    <n v="1"/>
    <n v="1"/>
    <x v="0"/>
    <n v="1"/>
    <n v="91"/>
    <n v="1"/>
    <x v="0"/>
    <n v="57"/>
    <n v="2"/>
    <x v="0"/>
    <s v="Sales Executive"/>
    <n v="3"/>
    <s v="Single"/>
    <x v="67"/>
    <n v="24668"/>
    <n v="7"/>
    <s v="Y"/>
    <x v="1"/>
    <n v="11"/>
    <n v="3"/>
    <n v="4"/>
    <x v="0"/>
    <n v="0"/>
    <n v="20"/>
    <n v="2"/>
    <n v="2"/>
    <n v="4"/>
    <n v="3"/>
    <x v="1"/>
    <n v="3"/>
  </r>
  <r>
    <n v="29"/>
    <x v="1"/>
    <x v="0"/>
    <n v="1328"/>
    <x v="1"/>
    <n v="2"/>
    <n v="3"/>
    <x v="0"/>
    <n v="1"/>
    <n v="94"/>
    <n v="3"/>
    <x v="1"/>
    <n v="76"/>
    <n v="3"/>
    <x v="1"/>
    <s v="Research Scientist"/>
    <n v="2"/>
    <s v="Married"/>
    <x v="68"/>
    <n v="4956"/>
    <n v="0"/>
    <s v="Y"/>
    <x v="1"/>
    <n v="23"/>
    <n v="4"/>
    <n v="4"/>
    <x v="0"/>
    <n v="1"/>
    <n v="6"/>
    <n v="3"/>
    <n v="3"/>
    <n v="5"/>
    <n v="4"/>
    <x v="0"/>
    <n v="4"/>
  </r>
  <r>
    <n v="31"/>
    <x v="1"/>
    <x v="0"/>
    <n v="1082"/>
    <x v="1"/>
    <n v="1"/>
    <n v="4"/>
    <x v="2"/>
    <n v="1"/>
    <n v="95"/>
    <n v="3"/>
    <x v="1"/>
    <n v="87"/>
    <n v="3"/>
    <x v="1"/>
    <s v="Research Scientist"/>
    <n v="2"/>
    <s v="Single"/>
    <x v="69"/>
    <n v="18775"/>
    <n v="1"/>
    <s v="Y"/>
    <x v="1"/>
    <n v="17"/>
    <n v="3"/>
    <n v="2"/>
    <x v="0"/>
    <n v="0"/>
    <n v="1"/>
    <n v="4"/>
    <n v="3"/>
    <n v="1"/>
    <n v="1"/>
    <x v="1"/>
    <n v="0"/>
  </r>
  <r>
    <n v="32"/>
    <x v="1"/>
    <x v="0"/>
    <n v="548"/>
    <x v="1"/>
    <n v="1"/>
    <n v="3"/>
    <x v="0"/>
    <n v="1"/>
    <n v="96"/>
    <n v="2"/>
    <x v="1"/>
    <n v="66"/>
    <n v="3"/>
    <x v="0"/>
    <s v="Research Scientist"/>
    <n v="2"/>
    <s v="Married"/>
    <x v="70"/>
    <n v="7346"/>
    <n v="1"/>
    <s v="Y"/>
    <x v="1"/>
    <n v="17"/>
    <n v="3"/>
    <n v="2"/>
    <x v="0"/>
    <n v="2"/>
    <n v="10"/>
    <n v="3"/>
    <n v="3"/>
    <n v="10"/>
    <n v="4"/>
    <x v="0"/>
    <n v="9"/>
  </r>
  <r>
    <n v="36"/>
    <x v="1"/>
    <x v="0"/>
    <n v="132"/>
    <x v="1"/>
    <n v="6"/>
    <n v="3"/>
    <x v="0"/>
    <n v="1"/>
    <n v="97"/>
    <n v="2"/>
    <x v="0"/>
    <n v="55"/>
    <n v="4"/>
    <x v="1"/>
    <s v="Laboratory Technician"/>
    <n v="4"/>
    <s v="Married"/>
    <x v="71"/>
    <n v="22002"/>
    <n v="3"/>
    <s v="Y"/>
    <x v="1"/>
    <n v="12"/>
    <n v="3"/>
    <n v="2"/>
    <x v="0"/>
    <n v="0"/>
    <n v="5"/>
    <n v="3"/>
    <n v="3"/>
    <n v="1"/>
    <n v="0"/>
    <x v="0"/>
    <n v="0"/>
  </r>
  <r>
    <n v="31"/>
    <x v="1"/>
    <x v="0"/>
    <n v="746"/>
    <x v="1"/>
    <n v="8"/>
    <n v="4"/>
    <x v="0"/>
    <n v="1"/>
    <n v="98"/>
    <n v="3"/>
    <x v="0"/>
    <n v="61"/>
    <n v="3"/>
    <x v="0"/>
    <s v="Manufacturing Director"/>
    <n v="4"/>
    <s v="Single"/>
    <x v="72"/>
    <n v="20682"/>
    <n v="1"/>
    <s v="Y"/>
    <x v="1"/>
    <n v="23"/>
    <n v="4"/>
    <n v="4"/>
    <x v="0"/>
    <n v="0"/>
    <n v="11"/>
    <n v="2"/>
    <n v="3"/>
    <n v="11"/>
    <n v="7"/>
    <x v="1"/>
    <n v="8"/>
  </r>
  <r>
    <n v="35"/>
    <x v="1"/>
    <x v="0"/>
    <n v="776"/>
    <x v="0"/>
    <n v="1"/>
    <n v="4"/>
    <x v="3"/>
    <n v="1"/>
    <n v="100"/>
    <n v="3"/>
    <x v="1"/>
    <n v="32"/>
    <n v="2"/>
    <x v="0"/>
    <s v="Sales Executive"/>
    <n v="1"/>
    <s v="Single"/>
    <x v="73"/>
    <n v="23016"/>
    <n v="0"/>
    <s v="Y"/>
    <x v="1"/>
    <n v="14"/>
    <n v="3"/>
    <n v="2"/>
    <x v="0"/>
    <n v="0"/>
    <n v="16"/>
    <n v="2"/>
    <n v="3"/>
    <n v="15"/>
    <n v="13"/>
    <x v="3"/>
    <n v="8"/>
  </r>
  <r>
    <n v="45"/>
    <x v="1"/>
    <x v="0"/>
    <n v="193"/>
    <x v="1"/>
    <n v="6"/>
    <n v="4"/>
    <x v="1"/>
    <n v="1"/>
    <n v="101"/>
    <n v="4"/>
    <x v="1"/>
    <n v="52"/>
    <n v="3"/>
    <x v="2"/>
    <s v="Research Director"/>
    <n v="1"/>
    <s v="Married"/>
    <x v="74"/>
    <n v="15067"/>
    <n v="4"/>
    <s v="Y"/>
    <x v="0"/>
    <n v="14"/>
    <n v="3"/>
    <n v="2"/>
    <x v="0"/>
    <n v="0"/>
    <n v="17"/>
    <n v="3"/>
    <n v="4"/>
    <n v="0"/>
    <n v="0"/>
    <x v="0"/>
    <n v="0"/>
  </r>
  <r>
    <n v="37"/>
    <x v="1"/>
    <x v="0"/>
    <n v="397"/>
    <x v="1"/>
    <n v="7"/>
    <n v="4"/>
    <x v="2"/>
    <n v="1"/>
    <n v="102"/>
    <n v="1"/>
    <x v="1"/>
    <n v="30"/>
    <n v="3"/>
    <x v="2"/>
    <s v="Research Director"/>
    <n v="3"/>
    <s v="Single"/>
    <x v="75"/>
    <n v="25258"/>
    <n v="4"/>
    <s v="Y"/>
    <x v="1"/>
    <n v="13"/>
    <n v="3"/>
    <n v="1"/>
    <x v="0"/>
    <n v="0"/>
    <n v="16"/>
    <n v="3"/>
    <n v="4"/>
    <n v="5"/>
    <n v="2"/>
    <x v="0"/>
    <n v="2"/>
  </r>
  <r>
    <n v="46"/>
    <x v="1"/>
    <x v="0"/>
    <n v="945"/>
    <x v="2"/>
    <n v="5"/>
    <n v="2"/>
    <x v="2"/>
    <n v="1"/>
    <n v="103"/>
    <n v="2"/>
    <x v="1"/>
    <n v="80"/>
    <n v="3"/>
    <x v="0"/>
    <s v="Human Resources"/>
    <n v="2"/>
    <s v="Divorced"/>
    <x v="76"/>
    <n v="10425"/>
    <n v="8"/>
    <s v="Y"/>
    <x v="0"/>
    <n v="22"/>
    <n v="4"/>
    <n v="4"/>
    <x v="0"/>
    <n v="1"/>
    <n v="16"/>
    <n v="2"/>
    <n v="3"/>
    <n v="4"/>
    <n v="2"/>
    <x v="0"/>
    <n v="2"/>
  </r>
  <r>
    <n v="30"/>
    <x v="1"/>
    <x v="0"/>
    <n v="852"/>
    <x v="1"/>
    <n v="1"/>
    <n v="1"/>
    <x v="0"/>
    <n v="1"/>
    <n v="104"/>
    <n v="4"/>
    <x v="1"/>
    <n v="55"/>
    <n v="2"/>
    <x v="0"/>
    <s v="Laboratory Technician"/>
    <n v="4"/>
    <s v="Married"/>
    <x v="77"/>
    <n v="15998"/>
    <n v="1"/>
    <s v="Y"/>
    <x v="0"/>
    <n v="12"/>
    <n v="3"/>
    <n v="3"/>
    <x v="0"/>
    <n v="2"/>
    <n v="10"/>
    <n v="1"/>
    <n v="2"/>
    <n v="10"/>
    <n v="8"/>
    <x v="2"/>
    <n v="0"/>
  </r>
  <r>
    <n v="35"/>
    <x v="1"/>
    <x v="0"/>
    <n v="1214"/>
    <x v="1"/>
    <n v="1"/>
    <n v="3"/>
    <x v="2"/>
    <n v="1"/>
    <n v="105"/>
    <n v="2"/>
    <x v="1"/>
    <n v="30"/>
    <n v="2"/>
    <x v="1"/>
    <s v="Research Scientist"/>
    <n v="3"/>
    <s v="Single"/>
    <x v="78"/>
    <n v="26278"/>
    <n v="1"/>
    <s v="Y"/>
    <x v="1"/>
    <n v="18"/>
    <n v="3"/>
    <n v="1"/>
    <x v="0"/>
    <n v="0"/>
    <n v="6"/>
    <n v="3"/>
    <n v="3"/>
    <n v="6"/>
    <n v="4"/>
    <x v="0"/>
    <n v="4"/>
  </r>
  <r>
    <n v="55"/>
    <x v="1"/>
    <x v="0"/>
    <n v="111"/>
    <x v="0"/>
    <n v="1"/>
    <n v="2"/>
    <x v="0"/>
    <n v="1"/>
    <n v="106"/>
    <n v="1"/>
    <x v="1"/>
    <n v="70"/>
    <n v="3"/>
    <x v="2"/>
    <s v="Sales Executive"/>
    <n v="4"/>
    <s v="Married"/>
    <x v="79"/>
    <n v="18092"/>
    <n v="3"/>
    <s v="Y"/>
    <x v="1"/>
    <n v="14"/>
    <n v="3"/>
    <n v="4"/>
    <x v="0"/>
    <n v="1"/>
    <n v="24"/>
    <n v="4"/>
    <n v="3"/>
    <n v="1"/>
    <n v="0"/>
    <x v="1"/>
    <n v="0"/>
  </r>
  <r>
    <n v="38"/>
    <x v="1"/>
    <x v="2"/>
    <n v="573"/>
    <x v="1"/>
    <n v="6"/>
    <n v="3"/>
    <x v="2"/>
    <n v="1"/>
    <n v="107"/>
    <n v="2"/>
    <x v="0"/>
    <n v="79"/>
    <n v="1"/>
    <x v="0"/>
    <s v="Research Scientist"/>
    <n v="4"/>
    <s v="Divorced"/>
    <x v="80"/>
    <n v="15717"/>
    <n v="7"/>
    <s v="Y"/>
    <x v="0"/>
    <n v="12"/>
    <n v="3"/>
    <n v="4"/>
    <x v="0"/>
    <n v="3"/>
    <n v="17"/>
    <n v="3"/>
    <n v="3"/>
    <n v="13"/>
    <n v="11"/>
    <x v="1"/>
    <n v="9"/>
  </r>
  <r>
    <n v="34"/>
    <x v="1"/>
    <x v="0"/>
    <n v="1153"/>
    <x v="1"/>
    <n v="1"/>
    <n v="2"/>
    <x v="2"/>
    <n v="1"/>
    <n v="110"/>
    <n v="1"/>
    <x v="1"/>
    <n v="94"/>
    <n v="3"/>
    <x v="0"/>
    <s v="Manufacturing Director"/>
    <n v="2"/>
    <s v="Married"/>
    <x v="81"/>
    <n v="17736"/>
    <n v="1"/>
    <s v="Y"/>
    <x v="1"/>
    <n v="15"/>
    <n v="3"/>
    <n v="3"/>
    <x v="0"/>
    <n v="0"/>
    <n v="5"/>
    <n v="2"/>
    <n v="3"/>
    <n v="5"/>
    <n v="2"/>
    <x v="1"/>
    <n v="3"/>
  </r>
  <r>
    <n v="56"/>
    <x v="1"/>
    <x v="0"/>
    <n v="1400"/>
    <x v="1"/>
    <n v="7"/>
    <n v="3"/>
    <x v="0"/>
    <n v="1"/>
    <n v="112"/>
    <n v="4"/>
    <x v="1"/>
    <n v="49"/>
    <n v="1"/>
    <x v="2"/>
    <s v="Manufacturing Director"/>
    <n v="4"/>
    <s v="Single"/>
    <x v="82"/>
    <n v="21698"/>
    <n v="4"/>
    <s v="Y"/>
    <x v="1"/>
    <n v="11"/>
    <n v="3"/>
    <n v="1"/>
    <x v="0"/>
    <n v="0"/>
    <n v="37"/>
    <n v="3"/>
    <n v="2"/>
    <n v="6"/>
    <n v="4"/>
    <x v="0"/>
    <n v="2"/>
  </r>
  <r>
    <n v="23"/>
    <x v="1"/>
    <x v="0"/>
    <n v="541"/>
    <x v="0"/>
    <n v="2"/>
    <n v="1"/>
    <x v="4"/>
    <n v="1"/>
    <n v="113"/>
    <n v="3"/>
    <x v="1"/>
    <n v="62"/>
    <n v="3"/>
    <x v="1"/>
    <s v="Sales Representative"/>
    <n v="1"/>
    <s v="Divorced"/>
    <x v="83"/>
    <n v="9518"/>
    <n v="3"/>
    <s v="Y"/>
    <x v="1"/>
    <n v="13"/>
    <n v="3"/>
    <n v="3"/>
    <x v="0"/>
    <n v="1"/>
    <n v="3"/>
    <n v="3"/>
    <n v="3"/>
    <n v="0"/>
    <n v="0"/>
    <x v="0"/>
    <n v="0"/>
  </r>
  <r>
    <n v="51"/>
    <x v="1"/>
    <x v="0"/>
    <n v="432"/>
    <x v="1"/>
    <n v="9"/>
    <n v="4"/>
    <x v="0"/>
    <n v="1"/>
    <n v="116"/>
    <n v="4"/>
    <x v="1"/>
    <n v="96"/>
    <n v="3"/>
    <x v="1"/>
    <s v="Laboratory Technician"/>
    <n v="4"/>
    <s v="Married"/>
    <x v="84"/>
    <n v="18725"/>
    <n v="3"/>
    <s v="Y"/>
    <x v="1"/>
    <n v="23"/>
    <n v="4"/>
    <n v="2"/>
    <x v="0"/>
    <n v="2"/>
    <n v="10"/>
    <n v="4"/>
    <n v="3"/>
    <n v="4"/>
    <n v="2"/>
    <x v="0"/>
    <n v="3"/>
  </r>
  <r>
    <n v="30"/>
    <x v="1"/>
    <x v="0"/>
    <n v="288"/>
    <x v="1"/>
    <n v="2"/>
    <n v="3"/>
    <x v="0"/>
    <n v="1"/>
    <n v="117"/>
    <n v="3"/>
    <x v="1"/>
    <n v="99"/>
    <n v="2"/>
    <x v="0"/>
    <s v="Healthcare Representative"/>
    <n v="4"/>
    <s v="Married"/>
    <x v="85"/>
    <n v="15830"/>
    <n v="1"/>
    <s v="Y"/>
    <x v="1"/>
    <n v="19"/>
    <n v="3"/>
    <n v="1"/>
    <x v="0"/>
    <n v="3"/>
    <n v="11"/>
    <n v="3"/>
    <n v="3"/>
    <n v="11"/>
    <n v="10"/>
    <x v="13"/>
    <n v="8"/>
  </r>
  <r>
    <n v="46"/>
    <x v="0"/>
    <x v="0"/>
    <n v="669"/>
    <x v="0"/>
    <n v="9"/>
    <n v="2"/>
    <x v="2"/>
    <n v="1"/>
    <n v="118"/>
    <n v="3"/>
    <x v="1"/>
    <n v="64"/>
    <n v="2"/>
    <x v="2"/>
    <s v="Sales Executive"/>
    <n v="4"/>
    <s v="Single"/>
    <x v="86"/>
    <n v="13596"/>
    <n v="1"/>
    <s v="Y"/>
    <x v="1"/>
    <n v="16"/>
    <n v="3"/>
    <n v="4"/>
    <x v="0"/>
    <n v="0"/>
    <n v="9"/>
    <n v="3"/>
    <n v="3"/>
    <n v="9"/>
    <n v="8"/>
    <x v="5"/>
    <n v="7"/>
  </r>
  <r>
    <n v="40"/>
    <x v="1"/>
    <x v="1"/>
    <n v="530"/>
    <x v="1"/>
    <n v="1"/>
    <n v="4"/>
    <x v="0"/>
    <n v="1"/>
    <n v="119"/>
    <n v="3"/>
    <x v="1"/>
    <n v="78"/>
    <n v="2"/>
    <x v="3"/>
    <s v="Healthcare Representative"/>
    <n v="2"/>
    <s v="Married"/>
    <x v="87"/>
    <n v="14115"/>
    <n v="1"/>
    <s v="Y"/>
    <x v="1"/>
    <n v="22"/>
    <n v="4"/>
    <n v="4"/>
    <x v="0"/>
    <n v="1"/>
    <n v="22"/>
    <n v="3"/>
    <n v="2"/>
    <n v="22"/>
    <n v="3"/>
    <x v="14"/>
    <n v="11"/>
  </r>
  <r>
    <n v="51"/>
    <x v="1"/>
    <x v="0"/>
    <n v="632"/>
    <x v="0"/>
    <n v="21"/>
    <n v="4"/>
    <x v="3"/>
    <n v="1"/>
    <n v="120"/>
    <n v="3"/>
    <x v="1"/>
    <n v="71"/>
    <n v="3"/>
    <x v="0"/>
    <s v="Sales Executive"/>
    <n v="4"/>
    <s v="Single"/>
    <x v="88"/>
    <n v="8423"/>
    <n v="0"/>
    <s v="Y"/>
    <x v="0"/>
    <n v="22"/>
    <n v="4"/>
    <n v="4"/>
    <x v="0"/>
    <n v="0"/>
    <n v="11"/>
    <n v="2"/>
    <n v="1"/>
    <n v="10"/>
    <n v="7"/>
    <x v="1"/>
    <n v="0"/>
  </r>
  <r>
    <n v="30"/>
    <x v="1"/>
    <x v="0"/>
    <n v="1334"/>
    <x v="0"/>
    <n v="4"/>
    <n v="2"/>
    <x v="2"/>
    <n v="1"/>
    <n v="121"/>
    <n v="3"/>
    <x v="0"/>
    <n v="63"/>
    <n v="2"/>
    <x v="0"/>
    <s v="Sales Executive"/>
    <n v="2"/>
    <s v="Divorced"/>
    <x v="89"/>
    <n v="19760"/>
    <n v="1"/>
    <s v="Y"/>
    <x v="0"/>
    <n v="12"/>
    <n v="3"/>
    <n v="2"/>
    <x v="0"/>
    <n v="3"/>
    <n v="11"/>
    <n v="4"/>
    <n v="2"/>
    <n v="11"/>
    <n v="8"/>
    <x v="3"/>
    <n v="7"/>
  </r>
  <r>
    <n v="46"/>
    <x v="1"/>
    <x v="1"/>
    <n v="638"/>
    <x v="1"/>
    <n v="1"/>
    <n v="3"/>
    <x v="2"/>
    <n v="1"/>
    <n v="124"/>
    <n v="3"/>
    <x v="1"/>
    <n v="40"/>
    <n v="2"/>
    <x v="2"/>
    <s v="Healthcare Representative"/>
    <n v="1"/>
    <s v="Married"/>
    <x v="90"/>
    <n v="3142"/>
    <n v="2"/>
    <s v="Y"/>
    <x v="0"/>
    <n v="13"/>
    <n v="3"/>
    <n v="3"/>
    <x v="0"/>
    <n v="1"/>
    <n v="21"/>
    <n v="5"/>
    <n v="2"/>
    <n v="10"/>
    <n v="9"/>
    <x v="10"/>
    <n v="5"/>
  </r>
  <r>
    <n v="32"/>
    <x v="1"/>
    <x v="0"/>
    <n v="1093"/>
    <x v="0"/>
    <n v="6"/>
    <n v="4"/>
    <x v="2"/>
    <n v="1"/>
    <n v="125"/>
    <n v="2"/>
    <x v="1"/>
    <n v="87"/>
    <n v="3"/>
    <x v="0"/>
    <s v="Sales Executive"/>
    <n v="3"/>
    <s v="Single"/>
    <x v="91"/>
    <n v="24301"/>
    <n v="1"/>
    <s v="Y"/>
    <x v="1"/>
    <n v="16"/>
    <n v="3"/>
    <n v="1"/>
    <x v="0"/>
    <n v="0"/>
    <n v="12"/>
    <n v="0"/>
    <n v="3"/>
    <n v="11"/>
    <n v="8"/>
    <x v="8"/>
    <n v="7"/>
  </r>
  <r>
    <n v="54"/>
    <x v="1"/>
    <x v="0"/>
    <n v="1217"/>
    <x v="1"/>
    <n v="2"/>
    <n v="4"/>
    <x v="4"/>
    <n v="1"/>
    <n v="126"/>
    <n v="1"/>
    <x v="0"/>
    <n v="60"/>
    <n v="3"/>
    <x v="2"/>
    <s v="Research Director"/>
    <n v="3"/>
    <s v="Married"/>
    <x v="92"/>
    <n v="24001"/>
    <n v="9"/>
    <s v="Y"/>
    <x v="1"/>
    <n v="12"/>
    <n v="3"/>
    <n v="1"/>
    <x v="0"/>
    <n v="1"/>
    <n v="16"/>
    <n v="5"/>
    <n v="1"/>
    <n v="4"/>
    <n v="3"/>
    <x v="0"/>
    <n v="3"/>
  </r>
  <r>
    <n v="24"/>
    <x v="1"/>
    <x v="0"/>
    <n v="1353"/>
    <x v="0"/>
    <n v="3"/>
    <n v="2"/>
    <x v="1"/>
    <n v="1"/>
    <n v="128"/>
    <n v="1"/>
    <x v="0"/>
    <n v="33"/>
    <n v="3"/>
    <x v="0"/>
    <s v="Sales Executive"/>
    <n v="3"/>
    <s v="Married"/>
    <x v="93"/>
    <n v="17519"/>
    <n v="0"/>
    <s v="Y"/>
    <x v="1"/>
    <n v="21"/>
    <n v="4"/>
    <n v="1"/>
    <x v="0"/>
    <n v="1"/>
    <n v="4"/>
    <n v="2"/>
    <n v="2"/>
    <n v="3"/>
    <n v="2"/>
    <x v="0"/>
    <n v="2"/>
  </r>
  <r>
    <n v="28"/>
    <x v="1"/>
    <x v="2"/>
    <n v="120"/>
    <x v="0"/>
    <n v="4"/>
    <n v="3"/>
    <x v="2"/>
    <n v="1"/>
    <n v="129"/>
    <n v="2"/>
    <x v="1"/>
    <n v="43"/>
    <n v="3"/>
    <x v="0"/>
    <s v="Sales Executive"/>
    <n v="3"/>
    <s v="Married"/>
    <x v="94"/>
    <n v="8863"/>
    <n v="1"/>
    <s v="Y"/>
    <x v="1"/>
    <n v="15"/>
    <n v="3"/>
    <n v="2"/>
    <x v="0"/>
    <n v="0"/>
    <n v="5"/>
    <n v="3"/>
    <n v="4"/>
    <n v="5"/>
    <n v="4"/>
    <x v="0"/>
    <n v="4"/>
  </r>
  <r>
    <n v="58"/>
    <x v="1"/>
    <x v="0"/>
    <n v="682"/>
    <x v="0"/>
    <n v="10"/>
    <n v="4"/>
    <x v="2"/>
    <n v="1"/>
    <n v="131"/>
    <n v="4"/>
    <x v="1"/>
    <n v="37"/>
    <n v="3"/>
    <x v="3"/>
    <s v="Sales Executive"/>
    <n v="3"/>
    <s v="Single"/>
    <x v="95"/>
    <n v="24409"/>
    <n v="0"/>
    <s v="Y"/>
    <x v="1"/>
    <n v="13"/>
    <n v="3"/>
    <n v="3"/>
    <x v="0"/>
    <n v="0"/>
    <n v="38"/>
    <n v="1"/>
    <n v="2"/>
    <n v="37"/>
    <n v="10"/>
    <x v="1"/>
    <n v="8"/>
  </r>
  <r>
    <n v="44"/>
    <x v="1"/>
    <x v="2"/>
    <n v="489"/>
    <x v="1"/>
    <n v="23"/>
    <n v="3"/>
    <x v="2"/>
    <n v="1"/>
    <n v="132"/>
    <n v="2"/>
    <x v="1"/>
    <n v="67"/>
    <n v="3"/>
    <x v="0"/>
    <s v="Laboratory Technician"/>
    <n v="2"/>
    <s v="Married"/>
    <x v="96"/>
    <n v="25043"/>
    <n v="4"/>
    <s v="Y"/>
    <x v="1"/>
    <n v="12"/>
    <n v="3"/>
    <n v="3"/>
    <x v="0"/>
    <n v="1"/>
    <n v="17"/>
    <n v="3"/>
    <n v="4"/>
    <n v="3"/>
    <n v="2"/>
    <x v="1"/>
    <n v="2"/>
  </r>
  <r>
    <n v="37"/>
    <x v="0"/>
    <x v="0"/>
    <n v="807"/>
    <x v="2"/>
    <n v="6"/>
    <n v="4"/>
    <x v="5"/>
    <n v="1"/>
    <n v="133"/>
    <n v="3"/>
    <x v="1"/>
    <n v="63"/>
    <n v="3"/>
    <x v="1"/>
    <s v="Human Resources"/>
    <n v="1"/>
    <s v="Divorced"/>
    <x v="97"/>
    <n v="23648"/>
    <n v="4"/>
    <s v="Y"/>
    <x v="0"/>
    <n v="22"/>
    <n v="4"/>
    <n v="4"/>
    <x v="0"/>
    <n v="0"/>
    <n v="7"/>
    <n v="3"/>
    <n v="3"/>
    <n v="3"/>
    <n v="2"/>
    <x v="0"/>
    <n v="2"/>
  </r>
  <r>
    <n v="32"/>
    <x v="1"/>
    <x v="0"/>
    <n v="827"/>
    <x v="1"/>
    <n v="1"/>
    <n v="1"/>
    <x v="0"/>
    <n v="1"/>
    <n v="134"/>
    <n v="4"/>
    <x v="1"/>
    <n v="71"/>
    <n v="3"/>
    <x v="1"/>
    <s v="Research Scientist"/>
    <n v="1"/>
    <s v="Single"/>
    <x v="98"/>
    <n v="15178"/>
    <n v="1"/>
    <s v="Y"/>
    <x v="1"/>
    <n v="13"/>
    <n v="3"/>
    <n v="4"/>
    <x v="0"/>
    <n v="0"/>
    <n v="1"/>
    <n v="2"/>
    <n v="3"/>
    <n v="1"/>
    <n v="0"/>
    <x v="0"/>
    <n v="0"/>
  </r>
  <r>
    <n v="20"/>
    <x v="0"/>
    <x v="1"/>
    <n v="871"/>
    <x v="1"/>
    <n v="6"/>
    <n v="3"/>
    <x v="0"/>
    <n v="1"/>
    <n v="137"/>
    <n v="4"/>
    <x v="0"/>
    <n v="66"/>
    <n v="2"/>
    <x v="1"/>
    <s v="Laboratory Technician"/>
    <n v="4"/>
    <s v="Single"/>
    <x v="99"/>
    <n v="19783"/>
    <n v="1"/>
    <s v="Y"/>
    <x v="0"/>
    <n v="18"/>
    <n v="3"/>
    <n v="2"/>
    <x v="0"/>
    <n v="0"/>
    <n v="1"/>
    <n v="5"/>
    <n v="3"/>
    <n v="1"/>
    <n v="0"/>
    <x v="1"/>
    <n v="0"/>
  </r>
  <r>
    <n v="34"/>
    <x v="1"/>
    <x v="0"/>
    <n v="665"/>
    <x v="1"/>
    <n v="6"/>
    <n v="4"/>
    <x v="1"/>
    <n v="1"/>
    <n v="138"/>
    <n v="1"/>
    <x v="0"/>
    <n v="41"/>
    <n v="3"/>
    <x v="0"/>
    <s v="Research Scientist"/>
    <n v="3"/>
    <s v="Single"/>
    <x v="100"/>
    <n v="12482"/>
    <n v="1"/>
    <s v="Y"/>
    <x v="1"/>
    <n v="14"/>
    <n v="3"/>
    <n v="3"/>
    <x v="0"/>
    <n v="0"/>
    <n v="16"/>
    <n v="3"/>
    <n v="3"/>
    <n v="16"/>
    <n v="13"/>
    <x v="3"/>
    <n v="10"/>
  </r>
  <r>
    <n v="37"/>
    <x v="1"/>
    <x v="2"/>
    <n v="1040"/>
    <x v="1"/>
    <n v="2"/>
    <n v="2"/>
    <x v="0"/>
    <n v="1"/>
    <n v="139"/>
    <n v="3"/>
    <x v="1"/>
    <n v="100"/>
    <n v="2"/>
    <x v="0"/>
    <s v="Healthcare Representative"/>
    <n v="4"/>
    <s v="Divorced"/>
    <x v="101"/>
    <n v="15850"/>
    <n v="5"/>
    <s v="Y"/>
    <x v="1"/>
    <n v="14"/>
    <n v="3"/>
    <n v="4"/>
    <x v="0"/>
    <n v="1"/>
    <n v="17"/>
    <n v="2"/>
    <n v="4"/>
    <n v="1"/>
    <n v="0"/>
    <x v="0"/>
    <n v="0"/>
  </r>
  <r>
    <n v="59"/>
    <x v="1"/>
    <x v="2"/>
    <n v="1420"/>
    <x v="2"/>
    <n v="2"/>
    <n v="4"/>
    <x v="5"/>
    <n v="1"/>
    <n v="140"/>
    <n v="3"/>
    <x v="0"/>
    <n v="32"/>
    <n v="2"/>
    <x v="4"/>
    <s v="Manager"/>
    <n v="4"/>
    <s v="Married"/>
    <x v="102"/>
    <n v="21922"/>
    <n v="9"/>
    <s v="Y"/>
    <x v="1"/>
    <n v="21"/>
    <n v="4"/>
    <n v="4"/>
    <x v="0"/>
    <n v="1"/>
    <n v="30"/>
    <n v="3"/>
    <n v="3"/>
    <n v="3"/>
    <n v="2"/>
    <x v="3"/>
    <n v="2"/>
  </r>
  <r>
    <n v="50"/>
    <x v="1"/>
    <x v="1"/>
    <n v="1115"/>
    <x v="1"/>
    <n v="1"/>
    <n v="3"/>
    <x v="0"/>
    <n v="1"/>
    <n v="141"/>
    <n v="1"/>
    <x v="0"/>
    <n v="73"/>
    <n v="3"/>
    <x v="4"/>
    <s v="Research Director"/>
    <n v="2"/>
    <s v="Married"/>
    <x v="103"/>
    <n v="9755"/>
    <n v="3"/>
    <s v="Y"/>
    <x v="0"/>
    <n v="19"/>
    <n v="3"/>
    <n v="1"/>
    <x v="0"/>
    <n v="0"/>
    <n v="28"/>
    <n v="1"/>
    <n v="2"/>
    <n v="8"/>
    <n v="3"/>
    <x v="0"/>
    <n v="7"/>
  </r>
  <r>
    <n v="25"/>
    <x v="0"/>
    <x v="0"/>
    <n v="240"/>
    <x v="0"/>
    <n v="5"/>
    <n v="3"/>
    <x v="3"/>
    <n v="1"/>
    <n v="142"/>
    <n v="3"/>
    <x v="1"/>
    <n v="46"/>
    <n v="2"/>
    <x v="0"/>
    <s v="Sales Executive"/>
    <n v="3"/>
    <s v="Single"/>
    <x v="104"/>
    <n v="26959"/>
    <n v="1"/>
    <s v="Y"/>
    <x v="0"/>
    <n v="11"/>
    <n v="3"/>
    <n v="4"/>
    <x v="0"/>
    <n v="0"/>
    <n v="6"/>
    <n v="1"/>
    <n v="3"/>
    <n v="6"/>
    <n v="4"/>
    <x v="0"/>
    <n v="3"/>
  </r>
  <r>
    <n v="25"/>
    <x v="1"/>
    <x v="0"/>
    <n v="1280"/>
    <x v="1"/>
    <n v="7"/>
    <n v="1"/>
    <x v="2"/>
    <n v="1"/>
    <n v="143"/>
    <n v="4"/>
    <x v="1"/>
    <n v="64"/>
    <n v="2"/>
    <x v="1"/>
    <s v="Research Scientist"/>
    <n v="4"/>
    <s v="Married"/>
    <x v="105"/>
    <n v="26897"/>
    <n v="1"/>
    <s v="Y"/>
    <x v="1"/>
    <n v="11"/>
    <n v="3"/>
    <n v="3"/>
    <x v="0"/>
    <n v="2"/>
    <n v="2"/>
    <n v="2"/>
    <n v="3"/>
    <n v="2"/>
    <n v="2"/>
    <x v="3"/>
    <n v="1"/>
  </r>
  <r>
    <n v="22"/>
    <x v="1"/>
    <x v="0"/>
    <n v="534"/>
    <x v="1"/>
    <n v="15"/>
    <n v="3"/>
    <x v="2"/>
    <n v="1"/>
    <n v="144"/>
    <n v="2"/>
    <x v="0"/>
    <n v="59"/>
    <n v="3"/>
    <x v="1"/>
    <s v="Laboratory Technician"/>
    <n v="4"/>
    <s v="Single"/>
    <x v="106"/>
    <n v="23785"/>
    <n v="1"/>
    <s v="Y"/>
    <x v="1"/>
    <n v="15"/>
    <n v="3"/>
    <n v="3"/>
    <x v="0"/>
    <n v="0"/>
    <n v="1"/>
    <n v="5"/>
    <n v="3"/>
    <n v="0"/>
    <n v="0"/>
    <x v="0"/>
    <n v="0"/>
  </r>
  <r>
    <n v="51"/>
    <x v="1"/>
    <x v="1"/>
    <n v="1456"/>
    <x v="1"/>
    <n v="1"/>
    <n v="4"/>
    <x v="2"/>
    <n v="1"/>
    <n v="145"/>
    <n v="1"/>
    <x v="0"/>
    <n v="30"/>
    <n v="2"/>
    <x v="2"/>
    <s v="Healthcare Representative"/>
    <n v="1"/>
    <s v="Single"/>
    <x v="107"/>
    <n v="25796"/>
    <n v="3"/>
    <s v="Y"/>
    <x v="1"/>
    <n v="20"/>
    <n v="4"/>
    <n v="3"/>
    <x v="0"/>
    <n v="0"/>
    <n v="23"/>
    <n v="1"/>
    <n v="2"/>
    <n v="13"/>
    <n v="12"/>
    <x v="12"/>
    <n v="8"/>
  </r>
  <r>
    <n v="34"/>
    <x v="0"/>
    <x v="1"/>
    <n v="658"/>
    <x v="1"/>
    <n v="7"/>
    <n v="3"/>
    <x v="0"/>
    <n v="1"/>
    <n v="147"/>
    <n v="1"/>
    <x v="1"/>
    <n v="66"/>
    <n v="1"/>
    <x v="0"/>
    <s v="Laboratory Technician"/>
    <n v="3"/>
    <s v="Single"/>
    <x v="108"/>
    <n v="22887"/>
    <n v="1"/>
    <s v="Y"/>
    <x v="0"/>
    <n v="24"/>
    <n v="4"/>
    <n v="4"/>
    <x v="0"/>
    <n v="0"/>
    <n v="9"/>
    <n v="3"/>
    <n v="3"/>
    <n v="9"/>
    <n v="7"/>
    <x v="0"/>
    <n v="6"/>
  </r>
  <r>
    <n v="54"/>
    <x v="1"/>
    <x v="2"/>
    <n v="142"/>
    <x v="2"/>
    <n v="26"/>
    <n v="3"/>
    <x v="5"/>
    <n v="1"/>
    <n v="148"/>
    <n v="4"/>
    <x v="0"/>
    <n v="30"/>
    <n v="4"/>
    <x v="3"/>
    <s v="Manager"/>
    <n v="4"/>
    <s v="Single"/>
    <x v="109"/>
    <n v="13871"/>
    <n v="2"/>
    <s v="Y"/>
    <x v="0"/>
    <n v="12"/>
    <n v="3"/>
    <n v="3"/>
    <x v="0"/>
    <n v="0"/>
    <n v="23"/>
    <n v="3"/>
    <n v="3"/>
    <n v="5"/>
    <n v="3"/>
    <x v="5"/>
    <n v="4"/>
  </r>
  <r>
    <n v="24"/>
    <x v="1"/>
    <x v="0"/>
    <n v="1127"/>
    <x v="1"/>
    <n v="18"/>
    <n v="1"/>
    <x v="0"/>
    <n v="1"/>
    <n v="150"/>
    <n v="2"/>
    <x v="1"/>
    <n v="52"/>
    <n v="3"/>
    <x v="1"/>
    <s v="Laboratory Technician"/>
    <n v="3"/>
    <s v="Married"/>
    <x v="110"/>
    <n v="13257"/>
    <n v="0"/>
    <s v="Y"/>
    <x v="1"/>
    <n v="12"/>
    <n v="3"/>
    <n v="3"/>
    <x v="0"/>
    <n v="1"/>
    <n v="6"/>
    <n v="2"/>
    <n v="3"/>
    <n v="5"/>
    <n v="3"/>
    <x v="1"/>
    <n v="2"/>
  </r>
  <r>
    <n v="34"/>
    <x v="1"/>
    <x v="0"/>
    <n v="1031"/>
    <x v="1"/>
    <n v="6"/>
    <n v="4"/>
    <x v="0"/>
    <n v="1"/>
    <n v="151"/>
    <n v="3"/>
    <x v="0"/>
    <n v="45"/>
    <n v="2"/>
    <x v="0"/>
    <s v="Research Scientist"/>
    <n v="2"/>
    <s v="Divorced"/>
    <x v="111"/>
    <n v="15000"/>
    <n v="6"/>
    <s v="Y"/>
    <x v="1"/>
    <n v="15"/>
    <n v="3"/>
    <n v="3"/>
    <x v="0"/>
    <n v="1"/>
    <n v="12"/>
    <n v="3"/>
    <n v="3"/>
    <n v="1"/>
    <n v="0"/>
    <x v="0"/>
    <n v="0"/>
  </r>
  <r>
    <n v="37"/>
    <x v="1"/>
    <x v="0"/>
    <n v="1189"/>
    <x v="0"/>
    <n v="3"/>
    <n v="3"/>
    <x v="0"/>
    <n v="1"/>
    <n v="152"/>
    <n v="3"/>
    <x v="1"/>
    <n v="87"/>
    <n v="3"/>
    <x v="2"/>
    <s v="Sales Executive"/>
    <n v="4"/>
    <s v="Single"/>
    <x v="112"/>
    <n v="14506"/>
    <n v="2"/>
    <s v="Y"/>
    <x v="1"/>
    <n v="12"/>
    <n v="3"/>
    <n v="1"/>
    <x v="0"/>
    <n v="0"/>
    <n v="12"/>
    <n v="3"/>
    <n v="3"/>
    <n v="5"/>
    <n v="3"/>
    <x v="1"/>
    <n v="3"/>
  </r>
  <r>
    <n v="34"/>
    <x v="1"/>
    <x v="0"/>
    <n v="1354"/>
    <x v="1"/>
    <n v="5"/>
    <n v="3"/>
    <x v="2"/>
    <n v="1"/>
    <n v="153"/>
    <n v="3"/>
    <x v="0"/>
    <n v="45"/>
    <n v="2"/>
    <x v="2"/>
    <s v="Manager"/>
    <n v="1"/>
    <s v="Single"/>
    <x v="113"/>
    <n v="5615"/>
    <n v="2"/>
    <s v="Y"/>
    <x v="1"/>
    <n v="12"/>
    <n v="3"/>
    <n v="4"/>
    <x v="0"/>
    <n v="0"/>
    <n v="14"/>
    <n v="6"/>
    <n v="3"/>
    <n v="11"/>
    <n v="10"/>
    <x v="8"/>
    <n v="8"/>
  </r>
  <r>
    <n v="36"/>
    <x v="1"/>
    <x v="1"/>
    <n v="1467"/>
    <x v="0"/>
    <n v="11"/>
    <n v="2"/>
    <x v="4"/>
    <n v="1"/>
    <n v="154"/>
    <n v="2"/>
    <x v="0"/>
    <n v="92"/>
    <n v="3"/>
    <x v="2"/>
    <s v="Sales Executive"/>
    <n v="4"/>
    <s v="Married"/>
    <x v="114"/>
    <n v="22952"/>
    <n v="0"/>
    <s v="Y"/>
    <x v="1"/>
    <n v="14"/>
    <n v="3"/>
    <n v="3"/>
    <x v="0"/>
    <n v="1"/>
    <n v="10"/>
    <n v="6"/>
    <n v="3"/>
    <n v="9"/>
    <n v="7"/>
    <x v="3"/>
    <n v="8"/>
  </r>
  <r>
    <n v="36"/>
    <x v="1"/>
    <x v="0"/>
    <n v="922"/>
    <x v="1"/>
    <n v="3"/>
    <n v="2"/>
    <x v="0"/>
    <n v="1"/>
    <n v="155"/>
    <n v="1"/>
    <x v="0"/>
    <n v="39"/>
    <n v="3"/>
    <x v="1"/>
    <s v="Laboratory Technician"/>
    <n v="4"/>
    <s v="Divorced"/>
    <x v="115"/>
    <n v="2561"/>
    <n v="5"/>
    <s v="Y"/>
    <x v="1"/>
    <n v="22"/>
    <n v="4"/>
    <n v="1"/>
    <x v="0"/>
    <n v="1"/>
    <n v="7"/>
    <n v="2"/>
    <n v="3"/>
    <n v="1"/>
    <n v="0"/>
    <x v="0"/>
    <n v="0"/>
  </r>
  <r>
    <n v="43"/>
    <x v="1"/>
    <x v="1"/>
    <n v="394"/>
    <x v="0"/>
    <n v="26"/>
    <n v="2"/>
    <x v="0"/>
    <n v="1"/>
    <n v="158"/>
    <n v="3"/>
    <x v="1"/>
    <n v="92"/>
    <n v="3"/>
    <x v="3"/>
    <s v="Manager"/>
    <n v="4"/>
    <s v="Married"/>
    <x v="116"/>
    <n v="19494"/>
    <n v="1"/>
    <s v="Y"/>
    <x v="0"/>
    <n v="12"/>
    <n v="3"/>
    <n v="4"/>
    <x v="0"/>
    <n v="2"/>
    <n v="25"/>
    <n v="3"/>
    <n v="4"/>
    <n v="25"/>
    <n v="12"/>
    <x v="5"/>
    <n v="12"/>
  </r>
  <r>
    <n v="30"/>
    <x v="1"/>
    <x v="1"/>
    <n v="1312"/>
    <x v="1"/>
    <n v="23"/>
    <n v="3"/>
    <x v="0"/>
    <n v="1"/>
    <n v="159"/>
    <n v="1"/>
    <x v="1"/>
    <n v="96"/>
    <n v="1"/>
    <x v="1"/>
    <s v="Research Scientist"/>
    <n v="3"/>
    <s v="Divorced"/>
    <x v="117"/>
    <n v="22310"/>
    <n v="1"/>
    <s v="Y"/>
    <x v="1"/>
    <n v="25"/>
    <n v="4"/>
    <n v="3"/>
    <x v="0"/>
    <n v="3"/>
    <n v="10"/>
    <n v="2"/>
    <n v="2"/>
    <n v="10"/>
    <n v="7"/>
    <x v="0"/>
    <n v="9"/>
  </r>
  <r>
    <n v="33"/>
    <x v="1"/>
    <x v="2"/>
    <n v="750"/>
    <x v="0"/>
    <n v="22"/>
    <n v="2"/>
    <x v="3"/>
    <n v="1"/>
    <n v="160"/>
    <n v="3"/>
    <x v="1"/>
    <n v="95"/>
    <n v="3"/>
    <x v="0"/>
    <s v="Sales Executive"/>
    <n v="2"/>
    <s v="Married"/>
    <x v="118"/>
    <n v="15480"/>
    <n v="0"/>
    <s v="Y"/>
    <x v="1"/>
    <n v="13"/>
    <n v="3"/>
    <n v="1"/>
    <x v="0"/>
    <n v="1"/>
    <n v="8"/>
    <n v="2"/>
    <n v="4"/>
    <n v="7"/>
    <n v="7"/>
    <x v="0"/>
    <n v="7"/>
  </r>
  <r>
    <n v="56"/>
    <x v="0"/>
    <x v="0"/>
    <n v="441"/>
    <x v="1"/>
    <n v="14"/>
    <n v="4"/>
    <x v="0"/>
    <n v="1"/>
    <n v="161"/>
    <n v="2"/>
    <x v="0"/>
    <n v="72"/>
    <n v="3"/>
    <x v="1"/>
    <s v="Research Scientist"/>
    <n v="2"/>
    <s v="Married"/>
    <x v="119"/>
    <n v="4510"/>
    <n v="9"/>
    <s v="Y"/>
    <x v="0"/>
    <n v="18"/>
    <n v="3"/>
    <n v="1"/>
    <x v="0"/>
    <n v="3"/>
    <n v="7"/>
    <n v="2"/>
    <n v="3"/>
    <n v="5"/>
    <n v="4"/>
    <x v="5"/>
    <n v="3"/>
  </r>
  <r>
    <n v="51"/>
    <x v="1"/>
    <x v="0"/>
    <n v="684"/>
    <x v="1"/>
    <n v="6"/>
    <n v="3"/>
    <x v="0"/>
    <n v="1"/>
    <n v="162"/>
    <n v="1"/>
    <x v="1"/>
    <n v="51"/>
    <n v="3"/>
    <x v="4"/>
    <s v="Research Director"/>
    <n v="3"/>
    <s v="Single"/>
    <x v="120"/>
    <n v="6462"/>
    <n v="7"/>
    <s v="Y"/>
    <x v="1"/>
    <n v="13"/>
    <n v="3"/>
    <n v="3"/>
    <x v="0"/>
    <n v="0"/>
    <n v="23"/>
    <n v="5"/>
    <n v="3"/>
    <n v="20"/>
    <n v="18"/>
    <x v="9"/>
    <n v="15"/>
  </r>
  <r>
    <n v="31"/>
    <x v="0"/>
    <x v="0"/>
    <n v="249"/>
    <x v="0"/>
    <n v="6"/>
    <n v="4"/>
    <x v="0"/>
    <n v="1"/>
    <n v="163"/>
    <n v="2"/>
    <x v="1"/>
    <n v="76"/>
    <n v="1"/>
    <x v="0"/>
    <s v="Sales Executive"/>
    <n v="3"/>
    <s v="Married"/>
    <x v="121"/>
    <n v="20739"/>
    <n v="4"/>
    <s v="Y"/>
    <x v="0"/>
    <n v="18"/>
    <n v="3"/>
    <n v="2"/>
    <x v="0"/>
    <n v="0"/>
    <n v="12"/>
    <n v="3"/>
    <n v="2"/>
    <n v="7"/>
    <n v="7"/>
    <x v="4"/>
    <n v="7"/>
  </r>
  <r>
    <n v="26"/>
    <x v="1"/>
    <x v="0"/>
    <n v="841"/>
    <x v="1"/>
    <n v="6"/>
    <n v="3"/>
    <x v="1"/>
    <n v="1"/>
    <n v="164"/>
    <n v="3"/>
    <x v="0"/>
    <n v="46"/>
    <n v="2"/>
    <x v="1"/>
    <s v="Research Scientist"/>
    <n v="2"/>
    <s v="Married"/>
    <x v="122"/>
    <n v="23300"/>
    <n v="1"/>
    <s v="Y"/>
    <x v="1"/>
    <n v="19"/>
    <n v="3"/>
    <n v="3"/>
    <x v="0"/>
    <n v="0"/>
    <n v="5"/>
    <n v="3"/>
    <n v="2"/>
    <n v="5"/>
    <n v="4"/>
    <x v="5"/>
    <n v="3"/>
  </r>
  <r>
    <n v="58"/>
    <x v="0"/>
    <x v="0"/>
    <n v="147"/>
    <x v="1"/>
    <n v="23"/>
    <n v="4"/>
    <x v="2"/>
    <n v="1"/>
    <n v="165"/>
    <n v="4"/>
    <x v="0"/>
    <n v="94"/>
    <n v="3"/>
    <x v="2"/>
    <s v="Healthcare Representative"/>
    <n v="4"/>
    <s v="Married"/>
    <x v="123"/>
    <n v="3465"/>
    <n v="1"/>
    <s v="Y"/>
    <x v="1"/>
    <n v="12"/>
    <n v="3"/>
    <n v="4"/>
    <x v="0"/>
    <n v="1"/>
    <n v="40"/>
    <n v="3"/>
    <n v="2"/>
    <n v="40"/>
    <n v="10"/>
    <x v="9"/>
    <n v="6"/>
  </r>
  <r>
    <n v="19"/>
    <x v="0"/>
    <x v="0"/>
    <n v="528"/>
    <x v="0"/>
    <n v="22"/>
    <n v="1"/>
    <x v="3"/>
    <n v="1"/>
    <n v="167"/>
    <n v="4"/>
    <x v="1"/>
    <n v="50"/>
    <n v="3"/>
    <x v="1"/>
    <s v="Sales Representative"/>
    <n v="3"/>
    <s v="Single"/>
    <x v="124"/>
    <n v="26820"/>
    <n v="1"/>
    <s v="Y"/>
    <x v="0"/>
    <n v="19"/>
    <n v="3"/>
    <n v="4"/>
    <x v="0"/>
    <n v="0"/>
    <n v="0"/>
    <n v="2"/>
    <n v="2"/>
    <n v="0"/>
    <n v="0"/>
    <x v="0"/>
    <n v="0"/>
  </r>
  <r>
    <n v="22"/>
    <x v="1"/>
    <x v="0"/>
    <n v="594"/>
    <x v="1"/>
    <n v="2"/>
    <n v="1"/>
    <x v="4"/>
    <n v="1"/>
    <n v="169"/>
    <n v="3"/>
    <x v="1"/>
    <n v="100"/>
    <n v="3"/>
    <x v="1"/>
    <s v="Laboratory Technician"/>
    <n v="4"/>
    <s v="Married"/>
    <x v="125"/>
    <n v="19299"/>
    <n v="0"/>
    <s v="Y"/>
    <x v="1"/>
    <n v="14"/>
    <n v="3"/>
    <n v="3"/>
    <x v="0"/>
    <n v="1"/>
    <n v="3"/>
    <n v="2"/>
    <n v="3"/>
    <n v="2"/>
    <n v="1"/>
    <x v="3"/>
    <n v="1"/>
  </r>
  <r>
    <n v="49"/>
    <x v="1"/>
    <x v="0"/>
    <n v="470"/>
    <x v="1"/>
    <n v="20"/>
    <n v="4"/>
    <x v="2"/>
    <n v="1"/>
    <n v="170"/>
    <n v="3"/>
    <x v="0"/>
    <n v="96"/>
    <n v="3"/>
    <x v="0"/>
    <s v="Manufacturing Director"/>
    <n v="1"/>
    <s v="Married"/>
    <x v="126"/>
    <n v="5549"/>
    <n v="1"/>
    <s v="Y"/>
    <x v="1"/>
    <n v="14"/>
    <n v="3"/>
    <n v="3"/>
    <x v="0"/>
    <n v="0"/>
    <n v="16"/>
    <n v="2"/>
    <n v="2"/>
    <n v="15"/>
    <n v="11"/>
    <x v="8"/>
    <n v="11"/>
  </r>
  <r>
    <n v="43"/>
    <x v="1"/>
    <x v="1"/>
    <n v="957"/>
    <x v="1"/>
    <n v="28"/>
    <n v="3"/>
    <x v="2"/>
    <n v="1"/>
    <n v="171"/>
    <n v="2"/>
    <x v="0"/>
    <n v="72"/>
    <n v="4"/>
    <x v="1"/>
    <s v="Research Scientist"/>
    <n v="3"/>
    <s v="Single"/>
    <x v="127"/>
    <n v="16090"/>
    <n v="4"/>
    <s v="Y"/>
    <x v="1"/>
    <n v="12"/>
    <n v="3"/>
    <n v="4"/>
    <x v="0"/>
    <n v="0"/>
    <n v="18"/>
    <n v="2"/>
    <n v="3"/>
    <n v="3"/>
    <n v="2"/>
    <x v="1"/>
    <n v="2"/>
  </r>
  <r>
    <n v="50"/>
    <x v="1"/>
    <x v="1"/>
    <n v="809"/>
    <x v="0"/>
    <n v="12"/>
    <n v="3"/>
    <x v="3"/>
    <n v="1"/>
    <n v="174"/>
    <n v="3"/>
    <x v="0"/>
    <n v="77"/>
    <n v="3"/>
    <x v="2"/>
    <s v="Sales Executive"/>
    <n v="4"/>
    <s v="Single"/>
    <x v="128"/>
    <n v="6645"/>
    <n v="4"/>
    <s v="Y"/>
    <x v="1"/>
    <n v="11"/>
    <n v="3"/>
    <n v="4"/>
    <x v="0"/>
    <n v="0"/>
    <n v="16"/>
    <n v="3"/>
    <n v="3"/>
    <n v="2"/>
    <n v="2"/>
    <x v="3"/>
    <n v="1"/>
  </r>
  <r>
    <n v="31"/>
    <x v="0"/>
    <x v="0"/>
    <n v="542"/>
    <x v="0"/>
    <n v="20"/>
    <n v="3"/>
    <x v="0"/>
    <n v="1"/>
    <n v="175"/>
    <n v="2"/>
    <x v="0"/>
    <n v="71"/>
    <n v="1"/>
    <x v="0"/>
    <s v="Sales Executive"/>
    <n v="3"/>
    <s v="Married"/>
    <x v="129"/>
    <n v="24788"/>
    <n v="3"/>
    <s v="Y"/>
    <x v="0"/>
    <n v="11"/>
    <n v="3"/>
    <n v="3"/>
    <x v="0"/>
    <n v="1"/>
    <n v="4"/>
    <n v="2"/>
    <n v="3"/>
    <n v="2"/>
    <n v="2"/>
    <x v="3"/>
    <n v="2"/>
  </r>
  <r>
    <n v="41"/>
    <x v="1"/>
    <x v="0"/>
    <n v="802"/>
    <x v="0"/>
    <n v="9"/>
    <n v="1"/>
    <x v="0"/>
    <n v="1"/>
    <n v="176"/>
    <n v="3"/>
    <x v="1"/>
    <n v="96"/>
    <n v="3"/>
    <x v="2"/>
    <s v="Sales Executive"/>
    <n v="3"/>
    <s v="Divorced"/>
    <x v="130"/>
    <n v="21196"/>
    <n v="3"/>
    <s v="Y"/>
    <x v="0"/>
    <n v="13"/>
    <n v="3"/>
    <n v="3"/>
    <x v="0"/>
    <n v="1"/>
    <n v="12"/>
    <n v="2"/>
    <n v="3"/>
    <n v="9"/>
    <n v="7"/>
    <x v="0"/>
    <n v="7"/>
  </r>
  <r>
    <n v="26"/>
    <x v="1"/>
    <x v="0"/>
    <n v="1355"/>
    <x v="2"/>
    <n v="25"/>
    <n v="1"/>
    <x v="0"/>
    <n v="1"/>
    <n v="177"/>
    <n v="3"/>
    <x v="0"/>
    <n v="61"/>
    <n v="3"/>
    <x v="1"/>
    <s v="Human Resources"/>
    <n v="3"/>
    <s v="Married"/>
    <x v="131"/>
    <n v="8916"/>
    <n v="1"/>
    <s v="Y"/>
    <x v="1"/>
    <n v="23"/>
    <n v="4"/>
    <n v="4"/>
    <x v="0"/>
    <n v="1"/>
    <n v="8"/>
    <n v="3"/>
    <n v="3"/>
    <n v="8"/>
    <n v="7"/>
    <x v="8"/>
    <n v="7"/>
  </r>
  <r>
    <n v="36"/>
    <x v="1"/>
    <x v="0"/>
    <n v="216"/>
    <x v="1"/>
    <n v="6"/>
    <n v="2"/>
    <x v="2"/>
    <n v="1"/>
    <n v="178"/>
    <n v="2"/>
    <x v="1"/>
    <n v="84"/>
    <n v="3"/>
    <x v="0"/>
    <s v="Manufacturing Director"/>
    <n v="2"/>
    <s v="Divorced"/>
    <x v="132"/>
    <n v="2819"/>
    <n v="6"/>
    <s v="Y"/>
    <x v="1"/>
    <n v="20"/>
    <n v="4"/>
    <n v="4"/>
    <x v="0"/>
    <n v="2"/>
    <n v="7"/>
    <n v="0"/>
    <n v="3"/>
    <n v="3"/>
    <n v="2"/>
    <x v="0"/>
    <n v="1"/>
  </r>
  <r>
    <n v="51"/>
    <x v="0"/>
    <x v="1"/>
    <n v="1150"/>
    <x v="1"/>
    <n v="8"/>
    <n v="4"/>
    <x v="0"/>
    <n v="1"/>
    <n v="179"/>
    <n v="1"/>
    <x v="1"/>
    <n v="53"/>
    <n v="1"/>
    <x v="2"/>
    <s v="Manufacturing Director"/>
    <n v="4"/>
    <s v="Single"/>
    <x v="133"/>
    <n v="25150"/>
    <n v="2"/>
    <s v="Y"/>
    <x v="1"/>
    <n v="15"/>
    <n v="3"/>
    <n v="4"/>
    <x v="0"/>
    <n v="0"/>
    <n v="18"/>
    <n v="2"/>
    <n v="3"/>
    <n v="4"/>
    <n v="2"/>
    <x v="0"/>
    <n v="3"/>
  </r>
  <r>
    <n v="39"/>
    <x v="1"/>
    <x v="0"/>
    <n v="1329"/>
    <x v="0"/>
    <n v="4"/>
    <n v="4"/>
    <x v="0"/>
    <n v="1"/>
    <n v="182"/>
    <n v="4"/>
    <x v="0"/>
    <n v="47"/>
    <n v="2"/>
    <x v="0"/>
    <s v="Sales Executive"/>
    <n v="3"/>
    <s v="Married"/>
    <x v="134"/>
    <n v="14590"/>
    <n v="4"/>
    <s v="Y"/>
    <x v="1"/>
    <n v="14"/>
    <n v="3"/>
    <n v="3"/>
    <x v="0"/>
    <n v="1"/>
    <n v="17"/>
    <n v="1"/>
    <n v="4"/>
    <n v="15"/>
    <n v="11"/>
    <x v="8"/>
    <n v="9"/>
  </r>
  <r>
    <n v="25"/>
    <x v="1"/>
    <x v="0"/>
    <n v="959"/>
    <x v="0"/>
    <n v="28"/>
    <n v="3"/>
    <x v="0"/>
    <n v="1"/>
    <n v="183"/>
    <n v="1"/>
    <x v="1"/>
    <n v="41"/>
    <n v="2"/>
    <x v="0"/>
    <s v="Sales Executive"/>
    <n v="3"/>
    <s v="Married"/>
    <x v="135"/>
    <n v="24835"/>
    <n v="2"/>
    <s v="Y"/>
    <x v="1"/>
    <n v="18"/>
    <n v="3"/>
    <n v="4"/>
    <x v="0"/>
    <n v="0"/>
    <n v="6"/>
    <n v="3"/>
    <n v="3"/>
    <n v="2"/>
    <n v="2"/>
    <x v="3"/>
    <n v="2"/>
  </r>
  <r>
    <n v="30"/>
    <x v="1"/>
    <x v="0"/>
    <n v="1240"/>
    <x v="2"/>
    <n v="9"/>
    <n v="3"/>
    <x v="5"/>
    <n v="1"/>
    <n v="184"/>
    <n v="3"/>
    <x v="1"/>
    <n v="48"/>
    <n v="3"/>
    <x v="0"/>
    <s v="Human Resources"/>
    <n v="4"/>
    <s v="Married"/>
    <x v="136"/>
    <n v="13982"/>
    <n v="0"/>
    <s v="Y"/>
    <x v="0"/>
    <n v="19"/>
    <n v="3"/>
    <n v="4"/>
    <x v="0"/>
    <n v="0"/>
    <n v="12"/>
    <n v="2"/>
    <n v="1"/>
    <n v="11"/>
    <n v="9"/>
    <x v="5"/>
    <n v="7"/>
  </r>
  <r>
    <n v="32"/>
    <x v="0"/>
    <x v="0"/>
    <n v="1033"/>
    <x v="1"/>
    <n v="9"/>
    <n v="3"/>
    <x v="2"/>
    <n v="1"/>
    <n v="190"/>
    <n v="1"/>
    <x v="0"/>
    <n v="41"/>
    <n v="3"/>
    <x v="1"/>
    <s v="Laboratory Technician"/>
    <n v="1"/>
    <s v="Single"/>
    <x v="137"/>
    <n v="10224"/>
    <n v="7"/>
    <s v="Y"/>
    <x v="1"/>
    <n v="22"/>
    <n v="4"/>
    <n v="1"/>
    <x v="0"/>
    <n v="0"/>
    <n v="10"/>
    <n v="2"/>
    <n v="4"/>
    <n v="5"/>
    <n v="4"/>
    <x v="0"/>
    <n v="4"/>
  </r>
  <r>
    <n v="45"/>
    <x v="1"/>
    <x v="0"/>
    <n v="1316"/>
    <x v="1"/>
    <n v="29"/>
    <n v="3"/>
    <x v="2"/>
    <n v="1"/>
    <n v="192"/>
    <n v="3"/>
    <x v="1"/>
    <n v="83"/>
    <n v="3"/>
    <x v="1"/>
    <s v="Research Scientist"/>
    <n v="4"/>
    <s v="Single"/>
    <x v="138"/>
    <n v="9752"/>
    <n v="5"/>
    <s v="Y"/>
    <x v="1"/>
    <n v="13"/>
    <n v="3"/>
    <n v="2"/>
    <x v="0"/>
    <n v="0"/>
    <n v="9"/>
    <n v="2"/>
    <n v="2"/>
    <n v="6"/>
    <n v="5"/>
    <x v="0"/>
    <n v="3"/>
  </r>
  <r>
    <n v="38"/>
    <x v="1"/>
    <x v="0"/>
    <n v="364"/>
    <x v="1"/>
    <n v="3"/>
    <n v="5"/>
    <x v="4"/>
    <n v="1"/>
    <n v="193"/>
    <n v="4"/>
    <x v="0"/>
    <n v="32"/>
    <n v="3"/>
    <x v="0"/>
    <s v="Research Scientist"/>
    <n v="3"/>
    <s v="Single"/>
    <x v="139"/>
    <n v="2302"/>
    <n v="3"/>
    <s v="Y"/>
    <x v="0"/>
    <n v="20"/>
    <n v="4"/>
    <n v="2"/>
    <x v="0"/>
    <n v="0"/>
    <n v="19"/>
    <n v="2"/>
    <n v="3"/>
    <n v="3"/>
    <n v="2"/>
    <x v="3"/>
    <n v="2"/>
  </r>
  <r>
    <n v="30"/>
    <x v="1"/>
    <x v="0"/>
    <n v="438"/>
    <x v="1"/>
    <n v="18"/>
    <n v="3"/>
    <x v="0"/>
    <n v="1"/>
    <n v="194"/>
    <n v="1"/>
    <x v="0"/>
    <n v="75"/>
    <n v="3"/>
    <x v="1"/>
    <s v="Research Scientist"/>
    <n v="3"/>
    <s v="Single"/>
    <x v="140"/>
    <n v="23910"/>
    <n v="1"/>
    <s v="Y"/>
    <x v="1"/>
    <n v="14"/>
    <n v="3"/>
    <n v="3"/>
    <x v="0"/>
    <n v="0"/>
    <n v="5"/>
    <n v="4"/>
    <n v="2"/>
    <n v="5"/>
    <n v="4"/>
    <x v="0"/>
    <n v="4"/>
  </r>
  <r>
    <n v="32"/>
    <x v="1"/>
    <x v="1"/>
    <n v="689"/>
    <x v="0"/>
    <n v="9"/>
    <n v="2"/>
    <x v="2"/>
    <n v="1"/>
    <n v="195"/>
    <n v="4"/>
    <x v="1"/>
    <n v="35"/>
    <n v="1"/>
    <x v="0"/>
    <s v="Sales Executive"/>
    <n v="4"/>
    <s v="Divorced"/>
    <x v="141"/>
    <n v="22812"/>
    <n v="0"/>
    <s v="Y"/>
    <x v="1"/>
    <n v="17"/>
    <n v="3"/>
    <n v="4"/>
    <x v="0"/>
    <n v="3"/>
    <n v="9"/>
    <n v="2"/>
    <n v="4"/>
    <n v="8"/>
    <n v="7"/>
    <x v="0"/>
    <n v="7"/>
  </r>
  <r>
    <n v="30"/>
    <x v="1"/>
    <x v="0"/>
    <n v="201"/>
    <x v="1"/>
    <n v="5"/>
    <n v="3"/>
    <x v="4"/>
    <n v="1"/>
    <n v="197"/>
    <n v="4"/>
    <x v="0"/>
    <n v="84"/>
    <n v="3"/>
    <x v="1"/>
    <s v="Research Scientist"/>
    <n v="1"/>
    <s v="Divorced"/>
    <x v="142"/>
    <n v="10415"/>
    <n v="5"/>
    <s v="Y"/>
    <x v="1"/>
    <n v="14"/>
    <n v="3"/>
    <n v="4"/>
    <x v="0"/>
    <n v="1"/>
    <n v="8"/>
    <n v="3"/>
    <n v="3"/>
    <n v="3"/>
    <n v="2"/>
    <x v="3"/>
    <n v="2"/>
  </r>
  <r>
    <n v="30"/>
    <x v="1"/>
    <x v="0"/>
    <n v="1427"/>
    <x v="1"/>
    <n v="2"/>
    <n v="1"/>
    <x v="2"/>
    <n v="1"/>
    <n v="198"/>
    <n v="2"/>
    <x v="1"/>
    <n v="35"/>
    <n v="2"/>
    <x v="1"/>
    <s v="Laboratory Technician"/>
    <n v="4"/>
    <s v="Single"/>
    <x v="143"/>
    <n v="11162"/>
    <n v="0"/>
    <s v="Y"/>
    <x v="1"/>
    <n v="13"/>
    <n v="3"/>
    <n v="4"/>
    <x v="0"/>
    <n v="0"/>
    <n v="6"/>
    <n v="3"/>
    <n v="3"/>
    <n v="5"/>
    <n v="3"/>
    <x v="1"/>
    <n v="2"/>
  </r>
  <r>
    <n v="41"/>
    <x v="1"/>
    <x v="1"/>
    <n v="857"/>
    <x v="1"/>
    <n v="10"/>
    <n v="3"/>
    <x v="0"/>
    <n v="1"/>
    <n v="199"/>
    <n v="4"/>
    <x v="1"/>
    <n v="91"/>
    <n v="2"/>
    <x v="3"/>
    <s v="Manager"/>
    <n v="1"/>
    <s v="Divorced"/>
    <x v="144"/>
    <n v="12888"/>
    <n v="4"/>
    <s v="Y"/>
    <x v="1"/>
    <n v="13"/>
    <n v="3"/>
    <n v="2"/>
    <x v="0"/>
    <n v="1"/>
    <n v="21"/>
    <n v="2"/>
    <n v="2"/>
    <n v="7"/>
    <n v="6"/>
    <x v="4"/>
    <n v="7"/>
  </r>
  <r>
    <n v="41"/>
    <x v="1"/>
    <x v="0"/>
    <n v="933"/>
    <x v="1"/>
    <n v="9"/>
    <n v="4"/>
    <x v="0"/>
    <n v="1"/>
    <n v="200"/>
    <n v="3"/>
    <x v="1"/>
    <n v="94"/>
    <n v="3"/>
    <x v="1"/>
    <s v="Laboratory Technician"/>
    <n v="1"/>
    <s v="Married"/>
    <x v="145"/>
    <n v="6961"/>
    <n v="2"/>
    <s v="Y"/>
    <x v="1"/>
    <n v="21"/>
    <n v="4"/>
    <n v="4"/>
    <x v="0"/>
    <n v="1"/>
    <n v="7"/>
    <n v="2"/>
    <n v="3"/>
    <n v="5"/>
    <n v="0"/>
    <x v="1"/>
    <n v="4"/>
  </r>
  <r>
    <n v="19"/>
    <x v="1"/>
    <x v="0"/>
    <n v="1181"/>
    <x v="1"/>
    <n v="3"/>
    <n v="1"/>
    <x v="2"/>
    <n v="1"/>
    <n v="201"/>
    <n v="2"/>
    <x v="0"/>
    <n v="79"/>
    <n v="3"/>
    <x v="1"/>
    <s v="Laboratory Technician"/>
    <n v="2"/>
    <s v="Single"/>
    <x v="146"/>
    <n v="16102"/>
    <n v="1"/>
    <s v="Y"/>
    <x v="1"/>
    <n v="14"/>
    <n v="3"/>
    <n v="4"/>
    <x v="0"/>
    <n v="0"/>
    <n v="1"/>
    <n v="3"/>
    <n v="3"/>
    <n v="1"/>
    <n v="0"/>
    <x v="0"/>
    <n v="0"/>
  </r>
  <r>
    <n v="40"/>
    <x v="1"/>
    <x v="1"/>
    <n v="1395"/>
    <x v="1"/>
    <n v="26"/>
    <n v="3"/>
    <x v="2"/>
    <n v="1"/>
    <n v="202"/>
    <n v="2"/>
    <x v="0"/>
    <n v="54"/>
    <n v="3"/>
    <x v="0"/>
    <s v="Research Scientist"/>
    <n v="2"/>
    <s v="Divorced"/>
    <x v="147"/>
    <n v="8504"/>
    <n v="1"/>
    <s v="Y"/>
    <x v="1"/>
    <n v="11"/>
    <n v="3"/>
    <n v="1"/>
    <x v="0"/>
    <n v="1"/>
    <n v="20"/>
    <n v="2"/>
    <n v="3"/>
    <n v="20"/>
    <n v="7"/>
    <x v="3"/>
    <n v="13"/>
  </r>
  <r>
    <n v="35"/>
    <x v="1"/>
    <x v="0"/>
    <n v="662"/>
    <x v="0"/>
    <n v="1"/>
    <n v="5"/>
    <x v="3"/>
    <n v="1"/>
    <n v="204"/>
    <n v="3"/>
    <x v="1"/>
    <n v="94"/>
    <n v="3"/>
    <x v="2"/>
    <s v="Sales Executive"/>
    <n v="2"/>
    <s v="Married"/>
    <x v="148"/>
    <n v="11439"/>
    <n v="1"/>
    <s v="Y"/>
    <x v="1"/>
    <n v="13"/>
    <n v="3"/>
    <n v="1"/>
    <x v="0"/>
    <n v="2"/>
    <n v="10"/>
    <n v="3"/>
    <n v="3"/>
    <n v="10"/>
    <n v="8"/>
    <x v="0"/>
    <n v="6"/>
  </r>
  <r>
    <n v="53"/>
    <x v="1"/>
    <x v="0"/>
    <n v="1436"/>
    <x v="0"/>
    <n v="6"/>
    <n v="2"/>
    <x v="3"/>
    <n v="1"/>
    <n v="205"/>
    <n v="2"/>
    <x v="1"/>
    <n v="34"/>
    <n v="3"/>
    <x v="0"/>
    <s v="Sales Representative"/>
    <n v="3"/>
    <s v="Married"/>
    <x v="149"/>
    <n v="16047"/>
    <n v="2"/>
    <s v="Y"/>
    <x v="0"/>
    <n v="20"/>
    <n v="4"/>
    <n v="4"/>
    <x v="0"/>
    <n v="1"/>
    <n v="13"/>
    <n v="3"/>
    <n v="1"/>
    <n v="7"/>
    <n v="7"/>
    <x v="5"/>
    <n v="5"/>
  </r>
  <r>
    <n v="45"/>
    <x v="1"/>
    <x v="0"/>
    <n v="194"/>
    <x v="1"/>
    <n v="9"/>
    <n v="3"/>
    <x v="0"/>
    <n v="1"/>
    <n v="206"/>
    <n v="2"/>
    <x v="1"/>
    <n v="60"/>
    <n v="3"/>
    <x v="0"/>
    <s v="Laboratory Technician"/>
    <n v="2"/>
    <s v="Divorced"/>
    <x v="150"/>
    <n v="10901"/>
    <n v="8"/>
    <s v="Y"/>
    <x v="1"/>
    <n v="18"/>
    <n v="3"/>
    <n v="3"/>
    <x v="0"/>
    <n v="1"/>
    <n v="20"/>
    <n v="2"/>
    <n v="1"/>
    <n v="17"/>
    <n v="9"/>
    <x v="0"/>
    <n v="15"/>
  </r>
  <r>
    <n v="32"/>
    <x v="1"/>
    <x v="1"/>
    <n v="967"/>
    <x v="0"/>
    <n v="8"/>
    <n v="3"/>
    <x v="3"/>
    <n v="1"/>
    <n v="207"/>
    <n v="2"/>
    <x v="0"/>
    <n v="43"/>
    <n v="3"/>
    <x v="2"/>
    <s v="Sales Executive"/>
    <n v="4"/>
    <s v="Single"/>
    <x v="151"/>
    <n v="15589"/>
    <n v="1"/>
    <s v="Y"/>
    <x v="1"/>
    <n v="14"/>
    <n v="3"/>
    <n v="4"/>
    <x v="0"/>
    <n v="0"/>
    <n v="9"/>
    <n v="2"/>
    <n v="3"/>
    <n v="9"/>
    <n v="8"/>
    <x v="2"/>
    <n v="7"/>
  </r>
  <r>
    <n v="29"/>
    <x v="1"/>
    <x v="2"/>
    <n v="1496"/>
    <x v="1"/>
    <n v="1"/>
    <n v="1"/>
    <x v="4"/>
    <n v="1"/>
    <n v="208"/>
    <n v="4"/>
    <x v="1"/>
    <n v="41"/>
    <n v="3"/>
    <x v="0"/>
    <s v="Manufacturing Director"/>
    <n v="3"/>
    <s v="Married"/>
    <x v="152"/>
    <n v="26283"/>
    <n v="1"/>
    <s v="Y"/>
    <x v="1"/>
    <n v="13"/>
    <n v="3"/>
    <n v="1"/>
    <x v="0"/>
    <n v="1"/>
    <n v="10"/>
    <n v="1"/>
    <n v="3"/>
    <n v="10"/>
    <n v="7"/>
    <x v="0"/>
    <n v="9"/>
  </r>
  <r>
    <n v="51"/>
    <x v="1"/>
    <x v="0"/>
    <n v="1169"/>
    <x v="1"/>
    <n v="7"/>
    <n v="4"/>
    <x v="2"/>
    <n v="1"/>
    <n v="211"/>
    <n v="2"/>
    <x v="1"/>
    <n v="34"/>
    <n v="2"/>
    <x v="0"/>
    <s v="Manufacturing Director"/>
    <n v="3"/>
    <s v="Married"/>
    <x v="153"/>
    <n v="13983"/>
    <n v="2"/>
    <s v="Y"/>
    <x v="1"/>
    <n v="17"/>
    <n v="3"/>
    <n v="3"/>
    <x v="0"/>
    <n v="0"/>
    <n v="10"/>
    <n v="2"/>
    <n v="3"/>
    <n v="1"/>
    <n v="0"/>
    <x v="0"/>
    <n v="0"/>
  </r>
  <r>
    <n v="58"/>
    <x v="1"/>
    <x v="0"/>
    <n v="1145"/>
    <x v="1"/>
    <n v="9"/>
    <n v="3"/>
    <x v="2"/>
    <n v="1"/>
    <n v="214"/>
    <n v="2"/>
    <x v="0"/>
    <n v="75"/>
    <n v="2"/>
    <x v="1"/>
    <s v="Research Scientist"/>
    <n v="2"/>
    <s v="Married"/>
    <x v="154"/>
    <n v="11873"/>
    <n v="4"/>
    <s v="Y"/>
    <x v="0"/>
    <n v="20"/>
    <n v="4"/>
    <n v="2"/>
    <x v="0"/>
    <n v="1"/>
    <n v="9"/>
    <n v="3"/>
    <n v="2"/>
    <n v="1"/>
    <n v="0"/>
    <x v="0"/>
    <n v="0"/>
  </r>
  <r>
    <n v="40"/>
    <x v="1"/>
    <x v="0"/>
    <n v="630"/>
    <x v="0"/>
    <n v="4"/>
    <n v="4"/>
    <x v="3"/>
    <n v="1"/>
    <n v="215"/>
    <n v="3"/>
    <x v="1"/>
    <n v="67"/>
    <n v="2"/>
    <x v="2"/>
    <s v="Sales Executive"/>
    <n v="4"/>
    <s v="Married"/>
    <x v="155"/>
    <n v="8552"/>
    <n v="7"/>
    <s v="Y"/>
    <x v="1"/>
    <n v="11"/>
    <n v="3"/>
    <n v="1"/>
    <x v="0"/>
    <n v="1"/>
    <n v="15"/>
    <n v="2"/>
    <n v="2"/>
    <n v="12"/>
    <n v="11"/>
    <x v="3"/>
    <n v="11"/>
  </r>
  <r>
    <n v="34"/>
    <x v="1"/>
    <x v="1"/>
    <n v="303"/>
    <x v="0"/>
    <n v="2"/>
    <n v="4"/>
    <x v="3"/>
    <n v="1"/>
    <n v="216"/>
    <n v="3"/>
    <x v="0"/>
    <n v="75"/>
    <n v="3"/>
    <x v="1"/>
    <s v="Sales Representative"/>
    <n v="3"/>
    <s v="Married"/>
    <x v="156"/>
    <n v="11314"/>
    <n v="6"/>
    <s v="Y"/>
    <x v="1"/>
    <n v="18"/>
    <n v="3"/>
    <n v="4"/>
    <x v="0"/>
    <n v="1"/>
    <n v="6"/>
    <n v="3"/>
    <n v="3"/>
    <n v="4"/>
    <n v="3"/>
    <x v="1"/>
    <n v="2"/>
  </r>
  <r>
    <n v="22"/>
    <x v="1"/>
    <x v="0"/>
    <n v="1256"/>
    <x v="1"/>
    <n v="19"/>
    <n v="1"/>
    <x v="2"/>
    <n v="1"/>
    <n v="217"/>
    <n v="3"/>
    <x v="1"/>
    <n v="80"/>
    <n v="3"/>
    <x v="1"/>
    <s v="Research Scientist"/>
    <n v="4"/>
    <s v="Married"/>
    <x v="157"/>
    <n v="11992"/>
    <n v="1"/>
    <s v="Y"/>
    <x v="1"/>
    <n v="24"/>
    <n v="4"/>
    <n v="1"/>
    <x v="0"/>
    <n v="2"/>
    <n v="2"/>
    <n v="6"/>
    <n v="3"/>
    <n v="2"/>
    <n v="2"/>
    <x v="3"/>
    <n v="2"/>
  </r>
  <r>
    <n v="27"/>
    <x v="1"/>
    <x v="2"/>
    <n v="691"/>
    <x v="1"/>
    <n v="9"/>
    <n v="3"/>
    <x v="2"/>
    <n v="1"/>
    <n v="218"/>
    <n v="4"/>
    <x v="1"/>
    <n v="57"/>
    <n v="3"/>
    <x v="1"/>
    <s v="Research Scientist"/>
    <n v="2"/>
    <s v="Divorced"/>
    <x v="158"/>
    <n v="5970"/>
    <n v="6"/>
    <s v="Y"/>
    <x v="1"/>
    <n v="18"/>
    <n v="3"/>
    <n v="4"/>
    <x v="0"/>
    <n v="1"/>
    <n v="6"/>
    <n v="1"/>
    <n v="1"/>
    <n v="2"/>
    <n v="2"/>
    <x v="3"/>
    <n v="2"/>
  </r>
  <r>
    <n v="28"/>
    <x v="1"/>
    <x v="0"/>
    <n v="440"/>
    <x v="1"/>
    <n v="21"/>
    <n v="3"/>
    <x v="2"/>
    <n v="1"/>
    <n v="221"/>
    <n v="3"/>
    <x v="1"/>
    <n v="42"/>
    <n v="3"/>
    <x v="1"/>
    <s v="Research Scientist"/>
    <n v="4"/>
    <s v="Married"/>
    <x v="159"/>
    <n v="6672"/>
    <n v="1"/>
    <s v="Y"/>
    <x v="1"/>
    <n v="11"/>
    <n v="3"/>
    <n v="3"/>
    <x v="0"/>
    <n v="1"/>
    <n v="5"/>
    <n v="2"/>
    <n v="1"/>
    <n v="5"/>
    <n v="2"/>
    <x v="0"/>
    <n v="2"/>
  </r>
  <r>
    <n v="57"/>
    <x v="1"/>
    <x v="0"/>
    <n v="334"/>
    <x v="1"/>
    <n v="24"/>
    <n v="2"/>
    <x v="0"/>
    <n v="1"/>
    <n v="223"/>
    <n v="3"/>
    <x v="1"/>
    <n v="83"/>
    <n v="4"/>
    <x v="2"/>
    <s v="Healthcare Representative"/>
    <n v="4"/>
    <s v="Divorced"/>
    <x v="160"/>
    <n v="23402"/>
    <n v="3"/>
    <s v="Y"/>
    <x v="0"/>
    <n v="16"/>
    <n v="3"/>
    <n v="2"/>
    <x v="0"/>
    <n v="1"/>
    <n v="12"/>
    <n v="2"/>
    <n v="1"/>
    <n v="5"/>
    <n v="3"/>
    <x v="1"/>
    <n v="4"/>
  </r>
  <r>
    <n v="27"/>
    <x v="1"/>
    <x v="2"/>
    <n v="1450"/>
    <x v="1"/>
    <n v="3"/>
    <n v="3"/>
    <x v="2"/>
    <n v="1"/>
    <n v="224"/>
    <n v="3"/>
    <x v="1"/>
    <n v="79"/>
    <n v="2"/>
    <x v="1"/>
    <s v="Research Scientist"/>
    <n v="3"/>
    <s v="Divorced"/>
    <x v="161"/>
    <n v="25326"/>
    <n v="1"/>
    <s v="Y"/>
    <x v="0"/>
    <n v="15"/>
    <n v="3"/>
    <n v="4"/>
    <x v="0"/>
    <n v="1"/>
    <n v="1"/>
    <n v="2"/>
    <n v="2"/>
    <n v="1"/>
    <n v="1"/>
    <x v="0"/>
    <n v="1"/>
  </r>
  <r>
    <n v="50"/>
    <x v="1"/>
    <x v="0"/>
    <n v="1452"/>
    <x v="1"/>
    <n v="11"/>
    <n v="3"/>
    <x v="0"/>
    <n v="1"/>
    <n v="226"/>
    <n v="3"/>
    <x v="0"/>
    <n v="53"/>
    <n v="3"/>
    <x v="4"/>
    <s v="Manager"/>
    <n v="2"/>
    <s v="Single"/>
    <x v="162"/>
    <n v="17053"/>
    <n v="3"/>
    <s v="Y"/>
    <x v="1"/>
    <n v="15"/>
    <n v="3"/>
    <n v="2"/>
    <x v="0"/>
    <n v="0"/>
    <n v="21"/>
    <n v="5"/>
    <n v="3"/>
    <n v="5"/>
    <n v="4"/>
    <x v="5"/>
    <n v="4"/>
  </r>
  <r>
    <n v="41"/>
    <x v="1"/>
    <x v="0"/>
    <n v="465"/>
    <x v="1"/>
    <n v="14"/>
    <n v="3"/>
    <x v="0"/>
    <n v="1"/>
    <n v="227"/>
    <n v="1"/>
    <x v="1"/>
    <n v="56"/>
    <n v="3"/>
    <x v="1"/>
    <s v="Research Scientist"/>
    <n v="3"/>
    <s v="Divorced"/>
    <x v="163"/>
    <n v="4609"/>
    <n v="4"/>
    <s v="Y"/>
    <x v="1"/>
    <n v="12"/>
    <n v="3"/>
    <n v="1"/>
    <x v="0"/>
    <n v="1"/>
    <n v="13"/>
    <n v="2"/>
    <n v="3"/>
    <n v="9"/>
    <n v="8"/>
    <x v="1"/>
    <n v="8"/>
  </r>
  <r>
    <n v="30"/>
    <x v="1"/>
    <x v="0"/>
    <n v="1339"/>
    <x v="0"/>
    <n v="5"/>
    <n v="3"/>
    <x v="0"/>
    <n v="1"/>
    <n v="228"/>
    <n v="2"/>
    <x v="0"/>
    <n v="41"/>
    <n v="3"/>
    <x v="2"/>
    <s v="Sales Executive"/>
    <n v="4"/>
    <s v="Married"/>
    <x v="164"/>
    <n v="8053"/>
    <n v="2"/>
    <s v="Y"/>
    <x v="1"/>
    <n v="12"/>
    <n v="3"/>
    <n v="3"/>
    <x v="0"/>
    <n v="1"/>
    <n v="12"/>
    <n v="2"/>
    <n v="3"/>
    <n v="10"/>
    <n v="9"/>
    <x v="4"/>
    <n v="4"/>
  </r>
  <r>
    <n v="38"/>
    <x v="1"/>
    <x v="0"/>
    <n v="702"/>
    <x v="0"/>
    <n v="1"/>
    <n v="4"/>
    <x v="0"/>
    <n v="1"/>
    <n v="230"/>
    <n v="1"/>
    <x v="0"/>
    <n v="59"/>
    <n v="2"/>
    <x v="0"/>
    <s v="Sales Executive"/>
    <n v="4"/>
    <s v="Single"/>
    <x v="165"/>
    <n v="12930"/>
    <n v="4"/>
    <s v="Y"/>
    <x v="1"/>
    <n v="22"/>
    <n v="4"/>
    <n v="3"/>
    <x v="0"/>
    <n v="0"/>
    <n v="12"/>
    <n v="2"/>
    <n v="4"/>
    <n v="8"/>
    <n v="3"/>
    <x v="0"/>
    <n v="7"/>
  </r>
  <r>
    <n v="32"/>
    <x v="1"/>
    <x v="0"/>
    <n v="120"/>
    <x v="1"/>
    <n v="6"/>
    <n v="5"/>
    <x v="0"/>
    <n v="1"/>
    <n v="231"/>
    <n v="3"/>
    <x v="1"/>
    <n v="43"/>
    <n v="3"/>
    <x v="1"/>
    <s v="Research Scientist"/>
    <n v="3"/>
    <s v="Single"/>
    <x v="71"/>
    <n v="12430"/>
    <n v="3"/>
    <s v="Y"/>
    <x v="1"/>
    <n v="20"/>
    <n v="4"/>
    <n v="1"/>
    <x v="0"/>
    <n v="0"/>
    <n v="8"/>
    <n v="2"/>
    <n v="3"/>
    <n v="5"/>
    <n v="4"/>
    <x v="1"/>
    <n v="4"/>
  </r>
  <r>
    <n v="27"/>
    <x v="1"/>
    <x v="0"/>
    <n v="1157"/>
    <x v="1"/>
    <n v="17"/>
    <n v="3"/>
    <x v="4"/>
    <n v="1"/>
    <n v="233"/>
    <n v="3"/>
    <x v="1"/>
    <n v="51"/>
    <n v="3"/>
    <x v="1"/>
    <s v="Research Scientist"/>
    <n v="2"/>
    <s v="Married"/>
    <x v="166"/>
    <n v="13364"/>
    <n v="0"/>
    <s v="Y"/>
    <x v="0"/>
    <n v="16"/>
    <n v="3"/>
    <n v="4"/>
    <x v="0"/>
    <n v="1"/>
    <n v="6"/>
    <n v="3"/>
    <n v="2"/>
    <n v="5"/>
    <n v="2"/>
    <x v="1"/>
    <n v="1"/>
  </r>
  <r>
    <n v="19"/>
    <x v="0"/>
    <x v="1"/>
    <n v="602"/>
    <x v="0"/>
    <n v="1"/>
    <n v="1"/>
    <x v="4"/>
    <n v="1"/>
    <n v="235"/>
    <n v="3"/>
    <x v="0"/>
    <n v="100"/>
    <n v="1"/>
    <x v="1"/>
    <s v="Sales Representative"/>
    <n v="1"/>
    <s v="Single"/>
    <x v="167"/>
    <n v="20989"/>
    <n v="0"/>
    <s v="Y"/>
    <x v="1"/>
    <n v="21"/>
    <n v="4"/>
    <n v="1"/>
    <x v="0"/>
    <n v="0"/>
    <n v="1"/>
    <n v="5"/>
    <n v="4"/>
    <n v="0"/>
    <n v="0"/>
    <x v="0"/>
    <n v="0"/>
  </r>
  <r>
    <n v="36"/>
    <x v="1"/>
    <x v="1"/>
    <n v="1480"/>
    <x v="1"/>
    <n v="3"/>
    <n v="2"/>
    <x v="2"/>
    <n v="1"/>
    <n v="238"/>
    <n v="4"/>
    <x v="1"/>
    <n v="30"/>
    <n v="3"/>
    <x v="1"/>
    <s v="Laboratory Technician"/>
    <n v="2"/>
    <s v="Single"/>
    <x v="168"/>
    <n v="15062"/>
    <n v="4"/>
    <s v="Y"/>
    <x v="1"/>
    <n v="12"/>
    <n v="3"/>
    <n v="3"/>
    <x v="0"/>
    <n v="0"/>
    <n v="13"/>
    <n v="3"/>
    <n v="2"/>
    <n v="8"/>
    <n v="7"/>
    <x v="4"/>
    <n v="2"/>
  </r>
  <r>
    <n v="30"/>
    <x v="1"/>
    <x v="2"/>
    <n v="111"/>
    <x v="1"/>
    <n v="9"/>
    <n v="3"/>
    <x v="2"/>
    <n v="1"/>
    <n v="239"/>
    <n v="3"/>
    <x v="1"/>
    <n v="66"/>
    <n v="3"/>
    <x v="0"/>
    <s v="Laboratory Technician"/>
    <n v="1"/>
    <s v="Divorced"/>
    <x v="169"/>
    <n v="11012"/>
    <n v="1"/>
    <s v="Y"/>
    <x v="1"/>
    <n v="11"/>
    <n v="3"/>
    <n v="3"/>
    <x v="0"/>
    <n v="2"/>
    <n v="12"/>
    <n v="4"/>
    <n v="3"/>
    <n v="12"/>
    <n v="9"/>
    <x v="7"/>
    <n v="10"/>
  </r>
  <r>
    <n v="45"/>
    <x v="1"/>
    <x v="0"/>
    <n v="1268"/>
    <x v="0"/>
    <n v="4"/>
    <n v="2"/>
    <x v="0"/>
    <n v="1"/>
    <n v="240"/>
    <n v="3"/>
    <x v="0"/>
    <n v="30"/>
    <n v="3"/>
    <x v="0"/>
    <s v="Sales Executive"/>
    <n v="1"/>
    <s v="Divorced"/>
    <x v="170"/>
    <n v="6319"/>
    <n v="4"/>
    <s v="Y"/>
    <x v="0"/>
    <n v="11"/>
    <n v="3"/>
    <n v="1"/>
    <x v="0"/>
    <n v="1"/>
    <n v="9"/>
    <n v="3"/>
    <n v="4"/>
    <n v="5"/>
    <n v="4"/>
    <x v="0"/>
    <n v="3"/>
  </r>
  <r>
    <n v="56"/>
    <x v="1"/>
    <x v="0"/>
    <n v="713"/>
    <x v="1"/>
    <n v="8"/>
    <n v="3"/>
    <x v="0"/>
    <n v="1"/>
    <n v="241"/>
    <n v="3"/>
    <x v="0"/>
    <n v="67"/>
    <n v="3"/>
    <x v="1"/>
    <s v="Research Scientist"/>
    <n v="1"/>
    <s v="Divorced"/>
    <x v="171"/>
    <n v="13939"/>
    <n v="4"/>
    <s v="Y"/>
    <x v="0"/>
    <n v="18"/>
    <n v="3"/>
    <n v="3"/>
    <x v="0"/>
    <n v="1"/>
    <n v="19"/>
    <n v="3"/>
    <n v="3"/>
    <n v="2"/>
    <n v="2"/>
    <x v="3"/>
    <n v="2"/>
  </r>
  <r>
    <n v="33"/>
    <x v="1"/>
    <x v="0"/>
    <n v="134"/>
    <x v="1"/>
    <n v="2"/>
    <n v="3"/>
    <x v="0"/>
    <n v="1"/>
    <n v="242"/>
    <n v="3"/>
    <x v="1"/>
    <n v="90"/>
    <n v="3"/>
    <x v="1"/>
    <s v="Research Scientist"/>
    <n v="4"/>
    <s v="Single"/>
    <x v="172"/>
    <n v="10515"/>
    <n v="0"/>
    <s v="Y"/>
    <x v="1"/>
    <n v="14"/>
    <n v="3"/>
    <n v="1"/>
    <x v="0"/>
    <n v="0"/>
    <n v="4"/>
    <n v="2"/>
    <n v="4"/>
    <n v="3"/>
    <n v="1"/>
    <x v="0"/>
    <n v="2"/>
  </r>
  <r>
    <n v="19"/>
    <x v="0"/>
    <x v="0"/>
    <n v="303"/>
    <x v="1"/>
    <n v="2"/>
    <n v="3"/>
    <x v="0"/>
    <n v="1"/>
    <n v="243"/>
    <n v="2"/>
    <x v="1"/>
    <n v="47"/>
    <n v="2"/>
    <x v="1"/>
    <s v="Laboratory Technician"/>
    <n v="4"/>
    <s v="Single"/>
    <x v="173"/>
    <n v="9241"/>
    <n v="1"/>
    <s v="Y"/>
    <x v="1"/>
    <n v="22"/>
    <n v="4"/>
    <n v="3"/>
    <x v="0"/>
    <n v="0"/>
    <n v="1"/>
    <n v="3"/>
    <n v="2"/>
    <n v="1"/>
    <n v="0"/>
    <x v="1"/>
    <n v="0"/>
  </r>
  <r>
    <n v="46"/>
    <x v="1"/>
    <x v="0"/>
    <n v="526"/>
    <x v="0"/>
    <n v="1"/>
    <n v="2"/>
    <x v="3"/>
    <n v="1"/>
    <n v="244"/>
    <n v="2"/>
    <x v="0"/>
    <n v="92"/>
    <n v="3"/>
    <x v="2"/>
    <s v="Sales Executive"/>
    <n v="1"/>
    <s v="Divorced"/>
    <x v="174"/>
    <n v="2137"/>
    <n v="1"/>
    <s v="Y"/>
    <x v="1"/>
    <n v="25"/>
    <n v="4"/>
    <n v="3"/>
    <x v="0"/>
    <n v="3"/>
    <n v="24"/>
    <n v="2"/>
    <n v="3"/>
    <n v="24"/>
    <n v="13"/>
    <x v="9"/>
    <n v="7"/>
  </r>
  <r>
    <n v="38"/>
    <x v="1"/>
    <x v="0"/>
    <n v="1380"/>
    <x v="1"/>
    <n v="9"/>
    <n v="2"/>
    <x v="0"/>
    <n v="1"/>
    <n v="245"/>
    <n v="3"/>
    <x v="0"/>
    <n v="75"/>
    <n v="3"/>
    <x v="1"/>
    <s v="Laboratory Technician"/>
    <n v="4"/>
    <s v="Single"/>
    <x v="175"/>
    <n v="6319"/>
    <n v="1"/>
    <s v="Y"/>
    <x v="1"/>
    <n v="12"/>
    <n v="3"/>
    <n v="3"/>
    <x v="0"/>
    <n v="0"/>
    <n v="2"/>
    <n v="3"/>
    <n v="3"/>
    <n v="2"/>
    <n v="2"/>
    <x v="3"/>
    <n v="1"/>
  </r>
  <r>
    <n v="31"/>
    <x v="1"/>
    <x v="0"/>
    <n v="140"/>
    <x v="1"/>
    <n v="12"/>
    <n v="1"/>
    <x v="2"/>
    <n v="1"/>
    <n v="246"/>
    <n v="3"/>
    <x v="0"/>
    <n v="95"/>
    <n v="3"/>
    <x v="1"/>
    <s v="Research Scientist"/>
    <n v="4"/>
    <s v="Married"/>
    <x v="176"/>
    <n v="6984"/>
    <n v="8"/>
    <s v="Y"/>
    <x v="0"/>
    <n v="23"/>
    <n v="4"/>
    <n v="3"/>
    <x v="0"/>
    <n v="1"/>
    <n v="7"/>
    <n v="0"/>
    <n v="3"/>
    <n v="4"/>
    <n v="2"/>
    <x v="0"/>
    <n v="2"/>
  </r>
  <r>
    <n v="34"/>
    <x v="1"/>
    <x v="0"/>
    <n v="629"/>
    <x v="1"/>
    <n v="27"/>
    <n v="2"/>
    <x v="2"/>
    <n v="1"/>
    <n v="247"/>
    <n v="4"/>
    <x v="0"/>
    <n v="95"/>
    <n v="3"/>
    <x v="1"/>
    <s v="Research Scientist"/>
    <n v="2"/>
    <s v="Single"/>
    <x v="177"/>
    <n v="5711"/>
    <n v="2"/>
    <s v="Y"/>
    <x v="1"/>
    <n v="15"/>
    <n v="3"/>
    <n v="4"/>
    <x v="0"/>
    <n v="0"/>
    <n v="9"/>
    <n v="3"/>
    <n v="3"/>
    <n v="3"/>
    <n v="2"/>
    <x v="1"/>
    <n v="2"/>
  </r>
  <r>
    <n v="41"/>
    <x v="0"/>
    <x v="0"/>
    <n v="1356"/>
    <x v="0"/>
    <n v="20"/>
    <n v="2"/>
    <x v="3"/>
    <n v="1"/>
    <n v="248"/>
    <n v="2"/>
    <x v="0"/>
    <n v="70"/>
    <n v="3"/>
    <x v="1"/>
    <s v="Sales Representative"/>
    <n v="2"/>
    <s v="Single"/>
    <x v="178"/>
    <n v="21728"/>
    <n v="1"/>
    <s v="Y"/>
    <x v="0"/>
    <n v="22"/>
    <n v="4"/>
    <n v="4"/>
    <x v="0"/>
    <n v="0"/>
    <n v="4"/>
    <n v="5"/>
    <n v="2"/>
    <n v="4"/>
    <n v="3"/>
    <x v="0"/>
    <n v="2"/>
  </r>
  <r>
    <n v="50"/>
    <x v="1"/>
    <x v="0"/>
    <n v="328"/>
    <x v="1"/>
    <n v="1"/>
    <n v="3"/>
    <x v="2"/>
    <n v="1"/>
    <n v="249"/>
    <n v="3"/>
    <x v="1"/>
    <n v="86"/>
    <n v="2"/>
    <x v="1"/>
    <s v="Laboratory Technician"/>
    <n v="3"/>
    <s v="Married"/>
    <x v="179"/>
    <n v="3425"/>
    <n v="2"/>
    <s v="Y"/>
    <x v="1"/>
    <n v="15"/>
    <n v="3"/>
    <n v="4"/>
    <x v="0"/>
    <n v="1"/>
    <n v="5"/>
    <n v="2"/>
    <n v="2"/>
    <n v="3"/>
    <n v="2"/>
    <x v="0"/>
    <n v="2"/>
  </r>
  <r>
    <n v="53"/>
    <x v="1"/>
    <x v="0"/>
    <n v="1084"/>
    <x v="1"/>
    <n v="13"/>
    <n v="2"/>
    <x v="2"/>
    <n v="1"/>
    <n v="250"/>
    <n v="4"/>
    <x v="0"/>
    <n v="57"/>
    <n v="4"/>
    <x v="0"/>
    <s v="Manufacturing Director"/>
    <n v="1"/>
    <s v="Divorced"/>
    <x v="180"/>
    <n v="26250"/>
    <n v="1"/>
    <s v="Y"/>
    <x v="1"/>
    <n v="11"/>
    <n v="3"/>
    <n v="3"/>
    <x v="0"/>
    <n v="2"/>
    <n v="5"/>
    <n v="3"/>
    <n v="3"/>
    <n v="4"/>
    <n v="2"/>
    <x v="1"/>
    <n v="3"/>
  </r>
  <r>
    <n v="33"/>
    <x v="1"/>
    <x v="0"/>
    <n v="931"/>
    <x v="1"/>
    <n v="14"/>
    <n v="3"/>
    <x v="2"/>
    <n v="1"/>
    <n v="252"/>
    <n v="4"/>
    <x v="0"/>
    <n v="72"/>
    <n v="3"/>
    <x v="1"/>
    <s v="Research Scientist"/>
    <n v="2"/>
    <s v="Married"/>
    <x v="181"/>
    <n v="4673"/>
    <n v="1"/>
    <s v="Y"/>
    <x v="1"/>
    <n v="13"/>
    <n v="3"/>
    <n v="4"/>
    <x v="0"/>
    <n v="1"/>
    <n v="8"/>
    <n v="5"/>
    <n v="3"/>
    <n v="8"/>
    <n v="7"/>
    <x v="1"/>
    <n v="6"/>
  </r>
  <r>
    <n v="40"/>
    <x v="1"/>
    <x v="0"/>
    <n v="989"/>
    <x v="1"/>
    <n v="4"/>
    <n v="1"/>
    <x v="2"/>
    <n v="1"/>
    <n v="253"/>
    <n v="4"/>
    <x v="0"/>
    <n v="46"/>
    <n v="3"/>
    <x v="4"/>
    <s v="Manager"/>
    <n v="3"/>
    <s v="Married"/>
    <x v="182"/>
    <n v="6499"/>
    <n v="1"/>
    <s v="Y"/>
    <x v="1"/>
    <n v="14"/>
    <n v="3"/>
    <n v="2"/>
    <x v="0"/>
    <n v="1"/>
    <n v="21"/>
    <n v="2"/>
    <n v="3"/>
    <n v="20"/>
    <n v="8"/>
    <x v="10"/>
    <n v="9"/>
  </r>
  <r>
    <n v="55"/>
    <x v="1"/>
    <x v="0"/>
    <n v="692"/>
    <x v="1"/>
    <n v="14"/>
    <n v="4"/>
    <x v="2"/>
    <n v="1"/>
    <n v="254"/>
    <n v="3"/>
    <x v="1"/>
    <n v="61"/>
    <n v="4"/>
    <x v="4"/>
    <s v="Research Director"/>
    <n v="2"/>
    <s v="Single"/>
    <x v="183"/>
    <n v="13339"/>
    <n v="8"/>
    <s v="Y"/>
    <x v="1"/>
    <n v="11"/>
    <n v="3"/>
    <n v="4"/>
    <x v="0"/>
    <n v="0"/>
    <n v="36"/>
    <n v="3"/>
    <n v="3"/>
    <n v="24"/>
    <n v="15"/>
    <x v="3"/>
    <n v="15"/>
  </r>
  <r>
    <n v="34"/>
    <x v="1"/>
    <x v="1"/>
    <n v="1069"/>
    <x v="1"/>
    <n v="2"/>
    <n v="1"/>
    <x v="0"/>
    <n v="1"/>
    <n v="256"/>
    <n v="4"/>
    <x v="1"/>
    <n v="45"/>
    <n v="2"/>
    <x v="0"/>
    <s v="Manufacturing Director"/>
    <n v="3"/>
    <s v="Married"/>
    <x v="184"/>
    <n v="14074"/>
    <n v="1"/>
    <s v="Y"/>
    <x v="1"/>
    <n v="17"/>
    <n v="3"/>
    <n v="3"/>
    <x v="0"/>
    <n v="0"/>
    <n v="10"/>
    <n v="2"/>
    <n v="2"/>
    <n v="10"/>
    <n v="9"/>
    <x v="1"/>
    <n v="9"/>
  </r>
  <r>
    <n v="51"/>
    <x v="1"/>
    <x v="0"/>
    <n v="313"/>
    <x v="1"/>
    <n v="3"/>
    <n v="3"/>
    <x v="2"/>
    <n v="1"/>
    <n v="258"/>
    <n v="4"/>
    <x v="0"/>
    <n v="98"/>
    <n v="3"/>
    <x v="3"/>
    <s v="Healthcare Representative"/>
    <n v="2"/>
    <s v="Single"/>
    <x v="185"/>
    <n v="7192"/>
    <n v="3"/>
    <s v="Y"/>
    <x v="1"/>
    <n v="18"/>
    <n v="3"/>
    <n v="3"/>
    <x v="0"/>
    <n v="0"/>
    <n v="21"/>
    <n v="6"/>
    <n v="3"/>
    <n v="7"/>
    <n v="7"/>
    <x v="1"/>
    <n v="0"/>
  </r>
  <r>
    <n v="52"/>
    <x v="1"/>
    <x v="0"/>
    <n v="699"/>
    <x v="1"/>
    <n v="1"/>
    <n v="4"/>
    <x v="0"/>
    <n v="1"/>
    <n v="259"/>
    <n v="3"/>
    <x v="1"/>
    <n v="65"/>
    <n v="2"/>
    <x v="4"/>
    <s v="Manager"/>
    <n v="3"/>
    <s v="Married"/>
    <x v="186"/>
    <n v="5678"/>
    <n v="0"/>
    <s v="Y"/>
    <x v="1"/>
    <n v="14"/>
    <n v="3"/>
    <n v="1"/>
    <x v="0"/>
    <n v="1"/>
    <n v="34"/>
    <n v="5"/>
    <n v="3"/>
    <n v="33"/>
    <n v="18"/>
    <x v="14"/>
    <n v="9"/>
  </r>
  <r>
    <n v="27"/>
    <x v="1"/>
    <x v="0"/>
    <n v="894"/>
    <x v="1"/>
    <n v="9"/>
    <n v="3"/>
    <x v="2"/>
    <n v="1"/>
    <n v="260"/>
    <n v="4"/>
    <x v="0"/>
    <n v="99"/>
    <n v="3"/>
    <x v="1"/>
    <s v="Research Scientist"/>
    <n v="2"/>
    <s v="Single"/>
    <x v="187"/>
    <n v="11781"/>
    <n v="1"/>
    <s v="Y"/>
    <x v="1"/>
    <n v="16"/>
    <n v="3"/>
    <n v="4"/>
    <x v="0"/>
    <n v="0"/>
    <n v="7"/>
    <n v="2"/>
    <n v="2"/>
    <n v="7"/>
    <n v="7"/>
    <x v="0"/>
    <n v="3"/>
  </r>
  <r>
    <n v="35"/>
    <x v="0"/>
    <x v="0"/>
    <n v="556"/>
    <x v="1"/>
    <n v="23"/>
    <n v="2"/>
    <x v="0"/>
    <n v="1"/>
    <n v="261"/>
    <n v="2"/>
    <x v="1"/>
    <n v="50"/>
    <n v="2"/>
    <x v="0"/>
    <s v="Manufacturing Director"/>
    <n v="3"/>
    <s v="Married"/>
    <x v="188"/>
    <n v="15497"/>
    <n v="3"/>
    <s v="Y"/>
    <x v="0"/>
    <n v="13"/>
    <n v="3"/>
    <n v="1"/>
    <x v="0"/>
    <n v="0"/>
    <n v="8"/>
    <n v="1"/>
    <n v="3"/>
    <n v="1"/>
    <n v="0"/>
    <x v="0"/>
    <n v="1"/>
  </r>
  <r>
    <n v="43"/>
    <x v="1"/>
    <x v="2"/>
    <n v="1344"/>
    <x v="1"/>
    <n v="7"/>
    <n v="3"/>
    <x v="2"/>
    <n v="1"/>
    <n v="262"/>
    <n v="4"/>
    <x v="1"/>
    <n v="37"/>
    <n v="4"/>
    <x v="1"/>
    <s v="Research Scientist"/>
    <n v="4"/>
    <s v="Divorced"/>
    <x v="189"/>
    <n v="5228"/>
    <n v="4"/>
    <s v="Y"/>
    <x v="1"/>
    <n v="14"/>
    <n v="3"/>
    <n v="4"/>
    <x v="0"/>
    <n v="3"/>
    <n v="7"/>
    <n v="3"/>
    <n v="4"/>
    <n v="5"/>
    <n v="4"/>
    <x v="3"/>
    <n v="2"/>
  </r>
  <r>
    <n v="45"/>
    <x v="1"/>
    <x v="2"/>
    <n v="1195"/>
    <x v="1"/>
    <n v="2"/>
    <n v="2"/>
    <x v="2"/>
    <n v="1"/>
    <n v="264"/>
    <n v="1"/>
    <x v="1"/>
    <n v="65"/>
    <n v="2"/>
    <x v="3"/>
    <s v="Manager"/>
    <n v="4"/>
    <s v="Married"/>
    <x v="190"/>
    <n v="20462"/>
    <n v="9"/>
    <s v="Y"/>
    <x v="1"/>
    <n v="23"/>
    <n v="4"/>
    <n v="4"/>
    <x v="0"/>
    <n v="1"/>
    <n v="22"/>
    <n v="1"/>
    <n v="3"/>
    <n v="20"/>
    <n v="8"/>
    <x v="14"/>
    <n v="8"/>
  </r>
  <r>
    <n v="37"/>
    <x v="1"/>
    <x v="0"/>
    <n v="290"/>
    <x v="1"/>
    <n v="21"/>
    <n v="3"/>
    <x v="0"/>
    <n v="1"/>
    <n v="267"/>
    <n v="2"/>
    <x v="1"/>
    <n v="65"/>
    <n v="4"/>
    <x v="1"/>
    <s v="Research Scientist"/>
    <n v="1"/>
    <s v="Married"/>
    <x v="191"/>
    <n v="22977"/>
    <n v="1"/>
    <s v="Y"/>
    <x v="0"/>
    <n v="12"/>
    <n v="3"/>
    <n v="1"/>
    <x v="0"/>
    <n v="1"/>
    <n v="8"/>
    <n v="3"/>
    <n v="2"/>
    <n v="8"/>
    <n v="7"/>
    <x v="1"/>
    <n v="7"/>
  </r>
  <r>
    <n v="35"/>
    <x v="1"/>
    <x v="1"/>
    <n v="138"/>
    <x v="1"/>
    <n v="2"/>
    <n v="3"/>
    <x v="2"/>
    <n v="1"/>
    <n v="269"/>
    <n v="2"/>
    <x v="0"/>
    <n v="37"/>
    <n v="3"/>
    <x v="0"/>
    <s v="Laboratory Technician"/>
    <n v="2"/>
    <s v="Single"/>
    <x v="192"/>
    <n v="15986"/>
    <n v="5"/>
    <s v="Y"/>
    <x v="1"/>
    <n v="11"/>
    <n v="3"/>
    <n v="4"/>
    <x v="0"/>
    <n v="0"/>
    <n v="10"/>
    <n v="5"/>
    <n v="3"/>
    <n v="6"/>
    <n v="2"/>
    <x v="1"/>
    <n v="2"/>
  </r>
  <r>
    <n v="42"/>
    <x v="1"/>
    <x v="2"/>
    <n v="926"/>
    <x v="1"/>
    <n v="21"/>
    <n v="2"/>
    <x v="2"/>
    <n v="1"/>
    <n v="270"/>
    <n v="3"/>
    <x v="0"/>
    <n v="36"/>
    <n v="3"/>
    <x v="0"/>
    <s v="Manufacturing Director"/>
    <n v="3"/>
    <s v="Divorced"/>
    <x v="193"/>
    <n v="16439"/>
    <n v="2"/>
    <s v="Y"/>
    <x v="1"/>
    <n v="16"/>
    <n v="3"/>
    <n v="2"/>
    <x v="0"/>
    <n v="1"/>
    <n v="11"/>
    <n v="5"/>
    <n v="3"/>
    <n v="5"/>
    <n v="3"/>
    <x v="0"/>
    <n v="2"/>
  </r>
  <r>
    <n v="38"/>
    <x v="1"/>
    <x v="0"/>
    <n v="1261"/>
    <x v="1"/>
    <n v="2"/>
    <n v="4"/>
    <x v="0"/>
    <n v="1"/>
    <n v="271"/>
    <n v="4"/>
    <x v="1"/>
    <n v="88"/>
    <n v="3"/>
    <x v="0"/>
    <s v="Manufacturing Director"/>
    <n v="3"/>
    <s v="Married"/>
    <x v="194"/>
    <n v="7259"/>
    <n v="9"/>
    <s v="Y"/>
    <x v="1"/>
    <n v="14"/>
    <n v="3"/>
    <n v="2"/>
    <x v="0"/>
    <n v="0"/>
    <n v="14"/>
    <n v="3"/>
    <n v="3"/>
    <n v="1"/>
    <n v="0"/>
    <x v="0"/>
    <n v="0"/>
  </r>
  <r>
    <n v="38"/>
    <x v="1"/>
    <x v="0"/>
    <n v="1084"/>
    <x v="1"/>
    <n v="29"/>
    <n v="3"/>
    <x v="4"/>
    <n v="1"/>
    <n v="273"/>
    <n v="4"/>
    <x v="1"/>
    <n v="54"/>
    <n v="3"/>
    <x v="0"/>
    <s v="Manufacturing Director"/>
    <n v="4"/>
    <s v="Married"/>
    <x v="195"/>
    <n v="4185"/>
    <n v="3"/>
    <s v="Y"/>
    <x v="1"/>
    <n v="18"/>
    <n v="3"/>
    <n v="1"/>
    <x v="0"/>
    <n v="1"/>
    <n v="9"/>
    <n v="3"/>
    <n v="1"/>
    <n v="7"/>
    <n v="7"/>
    <x v="1"/>
    <n v="7"/>
  </r>
  <r>
    <n v="27"/>
    <x v="1"/>
    <x v="1"/>
    <n v="472"/>
    <x v="1"/>
    <n v="1"/>
    <n v="1"/>
    <x v="4"/>
    <n v="1"/>
    <n v="274"/>
    <n v="3"/>
    <x v="1"/>
    <n v="60"/>
    <n v="2"/>
    <x v="0"/>
    <s v="Manufacturing Director"/>
    <n v="1"/>
    <s v="Married"/>
    <x v="196"/>
    <n v="9679"/>
    <n v="5"/>
    <s v="Y"/>
    <x v="1"/>
    <n v="19"/>
    <n v="3"/>
    <n v="3"/>
    <x v="0"/>
    <n v="1"/>
    <n v="6"/>
    <n v="1"/>
    <n v="3"/>
    <n v="2"/>
    <n v="2"/>
    <x v="3"/>
    <n v="0"/>
  </r>
  <r>
    <n v="49"/>
    <x v="1"/>
    <x v="2"/>
    <n v="1002"/>
    <x v="1"/>
    <n v="18"/>
    <n v="4"/>
    <x v="0"/>
    <n v="1"/>
    <n v="275"/>
    <n v="4"/>
    <x v="1"/>
    <n v="92"/>
    <n v="3"/>
    <x v="0"/>
    <s v="Manufacturing Director"/>
    <n v="4"/>
    <s v="Divorced"/>
    <x v="197"/>
    <n v="23793"/>
    <n v="1"/>
    <s v="Y"/>
    <x v="0"/>
    <n v="15"/>
    <n v="3"/>
    <n v="1"/>
    <x v="0"/>
    <n v="2"/>
    <n v="7"/>
    <n v="0"/>
    <n v="3"/>
    <n v="7"/>
    <n v="7"/>
    <x v="1"/>
    <n v="7"/>
  </r>
  <r>
    <n v="34"/>
    <x v="1"/>
    <x v="1"/>
    <n v="878"/>
    <x v="1"/>
    <n v="10"/>
    <n v="4"/>
    <x v="2"/>
    <n v="1"/>
    <n v="277"/>
    <n v="4"/>
    <x v="1"/>
    <n v="43"/>
    <n v="3"/>
    <x v="1"/>
    <s v="Research Scientist"/>
    <n v="3"/>
    <s v="Divorced"/>
    <x v="198"/>
    <n v="5972"/>
    <n v="1"/>
    <s v="Y"/>
    <x v="0"/>
    <n v="17"/>
    <n v="3"/>
    <n v="4"/>
    <x v="0"/>
    <n v="1"/>
    <n v="5"/>
    <n v="4"/>
    <n v="4"/>
    <n v="5"/>
    <n v="3"/>
    <x v="3"/>
    <n v="0"/>
  </r>
  <r>
    <n v="40"/>
    <x v="1"/>
    <x v="0"/>
    <n v="905"/>
    <x v="1"/>
    <n v="19"/>
    <n v="2"/>
    <x v="2"/>
    <n v="1"/>
    <n v="281"/>
    <n v="3"/>
    <x v="1"/>
    <n v="99"/>
    <n v="3"/>
    <x v="0"/>
    <s v="Laboratory Technician"/>
    <n v="4"/>
    <s v="Married"/>
    <x v="199"/>
    <n v="16523"/>
    <n v="8"/>
    <s v="Y"/>
    <x v="0"/>
    <n v="15"/>
    <n v="3"/>
    <n v="3"/>
    <x v="0"/>
    <n v="1"/>
    <n v="15"/>
    <n v="2"/>
    <n v="4"/>
    <n v="7"/>
    <n v="2"/>
    <x v="2"/>
    <n v="7"/>
  </r>
  <r>
    <n v="38"/>
    <x v="0"/>
    <x v="0"/>
    <n v="1180"/>
    <x v="1"/>
    <n v="29"/>
    <n v="1"/>
    <x v="2"/>
    <n v="1"/>
    <n v="282"/>
    <n v="2"/>
    <x v="1"/>
    <n v="70"/>
    <n v="3"/>
    <x v="0"/>
    <s v="Healthcare Representative"/>
    <n v="1"/>
    <s v="Married"/>
    <x v="200"/>
    <n v="11354"/>
    <n v="7"/>
    <s v="Y"/>
    <x v="0"/>
    <n v="19"/>
    <n v="3"/>
    <n v="2"/>
    <x v="0"/>
    <n v="0"/>
    <n v="17"/>
    <n v="2"/>
    <n v="3"/>
    <n v="1"/>
    <n v="0"/>
    <x v="0"/>
    <n v="0"/>
  </r>
  <r>
    <n v="29"/>
    <x v="0"/>
    <x v="0"/>
    <n v="121"/>
    <x v="0"/>
    <n v="27"/>
    <n v="3"/>
    <x v="3"/>
    <n v="1"/>
    <n v="283"/>
    <n v="2"/>
    <x v="0"/>
    <n v="35"/>
    <n v="3"/>
    <x v="2"/>
    <s v="Sales Executive"/>
    <n v="4"/>
    <s v="Married"/>
    <x v="201"/>
    <n v="24525"/>
    <n v="1"/>
    <s v="Y"/>
    <x v="1"/>
    <n v="22"/>
    <n v="4"/>
    <n v="4"/>
    <x v="0"/>
    <n v="3"/>
    <n v="10"/>
    <n v="3"/>
    <n v="2"/>
    <n v="10"/>
    <n v="4"/>
    <x v="1"/>
    <n v="9"/>
  </r>
  <r>
    <n v="22"/>
    <x v="1"/>
    <x v="0"/>
    <n v="1136"/>
    <x v="1"/>
    <n v="5"/>
    <n v="3"/>
    <x v="0"/>
    <n v="1"/>
    <n v="284"/>
    <n v="4"/>
    <x v="1"/>
    <n v="60"/>
    <n v="4"/>
    <x v="1"/>
    <s v="Research Scientist"/>
    <n v="2"/>
    <s v="Divorced"/>
    <x v="202"/>
    <n v="12392"/>
    <n v="1"/>
    <s v="Y"/>
    <x v="0"/>
    <n v="16"/>
    <n v="3"/>
    <n v="1"/>
    <x v="0"/>
    <n v="1"/>
    <n v="4"/>
    <n v="2"/>
    <n v="2"/>
    <n v="4"/>
    <n v="2"/>
    <x v="3"/>
    <n v="2"/>
  </r>
  <r>
    <n v="36"/>
    <x v="1"/>
    <x v="1"/>
    <n v="635"/>
    <x v="1"/>
    <n v="18"/>
    <n v="1"/>
    <x v="2"/>
    <n v="1"/>
    <n v="286"/>
    <n v="2"/>
    <x v="0"/>
    <n v="73"/>
    <n v="3"/>
    <x v="1"/>
    <s v="Laboratory Technician"/>
    <n v="4"/>
    <s v="Single"/>
    <x v="203"/>
    <n v="7703"/>
    <n v="1"/>
    <s v="Y"/>
    <x v="1"/>
    <n v="13"/>
    <n v="3"/>
    <n v="1"/>
    <x v="0"/>
    <n v="0"/>
    <n v="8"/>
    <n v="2"/>
    <n v="3"/>
    <n v="8"/>
    <n v="1"/>
    <x v="1"/>
    <n v="7"/>
  </r>
  <r>
    <n v="40"/>
    <x v="1"/>
    <x v="2"/>
    <n v="1151"/>
    <x v="1"/>
    <n v="9"/>
    <n v="5"/>
    <x v="0"/>
    <n v="1"/>
    <n v="287"/>
    <n v="4"/>
    <x v="1"/>
    <n v="63"/>
    <n v="2"/>
    <x v="0"/>
    <s v="Healthcare Representative"/>
    <n v="4"/>
    <s v="Married"/>
    <x v="204"/>
    <n v="14242"/>
    <n v="9"/>
    <s v="Y"/>
    <x v="1"/>
    <n v="14"/>
    <n v="3"/>
    <n v="4"/>
    <x v="0"/>
    <n v="1"/>
    <n v="5"/>
    <n v="5"/>
    <n v="1"/>
    <n v="3"/>
    <n v="2"/>
    <x v="0"/>
    <n v="2"/>
  </r>
  <r>
    <n v="46"/>
    <x v="1"/>
    <x v="0"/>
    <n v="644"/>
    <x v="1"/>
    <n v="1"/>
    <n v="4"/>
    <x v="2"/>
    <n v="1"/>
    <n v="288"/>
    <n v="4"/>
    <x v="1"/>
    <n v="97"/>
    <n v="3"/>
    <x v="2"/>
    <s v="Healthcare Representative"/>
    <n v="1"/>
    <s v="Divorced"/>
    <x v="205"/>
    <n v="12368"/>
    <n v="7"/>
    <s v="Y"/>
    <x v="1"/>
    <n v="16"/>
    <n v="3"/>
    <n v="3"/>
    <x v="0"/>
    <n v="1"/>
    <n v="17"/>
    <n v="3"/>
    <n v="3"/>
    <n v="4"/>
    <n v="2"/>
    <x v="0"/>
    <n v="3"/>
  </r>
  <r>
    <n v="32"/>
    <x v="0"/>
    <x v="0"/>
    <n v="1045"/>
    <x v="0"/>
    <n v="4"/>
    <n v="4"/>
    <x v="2"/>
    <n v="1"/>
    <n v="291"/>
    <n v="4"/>
    <x v="1"/>
    <n v="32"/>
    <n v="1"/>
    <x v="2"/>
    <s v="Sales Executive"/>
    <n v="4"/>
    <s v="Married"/>
    <x v="206"/>
    <n v="25812"/>
    <n v="1"/>
    <s v="Y"/>
    <x v="1"/>
    <n v="11"/>
    <n v="3"/>
    <n v="3"/>
    <x v="0"/>
    <n v="0"/>
    <n v="14"/>
    <n v="2"/>
    <n v="2"/>
    <n v="14"/>
    <n v="8"/>
    <x v="10"/>
    <n v="8"/>
  </r>
  <r>
    <n v="30"/>
    <x v="1"/>
    <x v="2"/>
    <n v="829"/>
    <x v="1"/>
    <n v="1"/>
    <n v="1"/>
    <x v="0"/>
    <n v="1"/>
    <n v="292"/>
    <n v="3"/>
    <x v="1"/>
    <n v="88"/>
    <n v="2"/>
    <x v="2"/>
    <s v="Manufacturing Director"/>
    <n v="3"/>
    <s v="Single"/>
    <x v="207"/>
    <n v="20925"/>
    <n v="1"/>
    <s v="Y"/>
    <x v="1"/>
    <n v="22"/>
    <n v="4"/>
    <n v="3"/>
    <x v="0"/>
    <n v="0"/>
    <n v="12"/>
    <n v="2"/>
    <n v="3"/>
    <n v="11"/>
    <n v="8"/>
    <x v="8"/>
    <n v="8"/>
  </r>
  <r>
    <n v="27"/>
    <x v="1"/>
    <x v="1"/>
    <n v="1242"/>
    <x v="0"/>
    <n v="20"/>
    <n v="3"/>
    <x v="0"/>
    <n v="1"/>
    <n v="293"/>
    <n v="4"/>
    <x v="0"/>
    <n v="90"/>
    <n v="3"/>
    <x v="0"/>
    <s v="Sales Executive"/>
    <n v="3"/>
    <s v="Single"/>
    <x v="208"/>
    <n v="12916"/>
    <n v="1"/>
    <s v="Y"/>
    <x v="1"/>
    <n v="14"/>
    <n v="3"/>
    <n v="4"/>
    <x v="0"/>
    <n v="0"/>
    <n v="7"/>
    <n v="2"/>
    <n v="3"/>
    <n v="7"/>
    <n v="7"/>
    <x v="0"/>
    <n v="7"/>
  </r>
  <r>
    <n v="51"/>
    <x v="1"/>
    <x v="0"/>
    <n v="1469"/>
    <x v="1"/>
    <n v="8"/>
    <n v="4"/>
    <x v="0"/>
    <n v="1"/>
    <n v="296"/>
    <n v="2"/>
    <x v="1"/>
    <n v="81"/>
    <n v="2"/>
    <x v="2"/>
    <s v="Research Director"/>
    <n v="2"/>
    <s v="Married"/>
    <x v="209"/>
    <n v="15736"/>
    <n v="5"/>
    <s v="Y"/>
    <x v="1"/>
    <n v="16"/>
    <n v="3"/>
    <n v="4"/>
    <x v="0"/>
    <n v="2"/>
    <n v="16"/>
    <n v="5"/>
    <n v="1"/>
    <n v="10"/>
    <n v="9"/>
    <x v="5"/>
    <n v="7"/>
  </r>
  <r>
    <n v="30"/>
    <x v="0"/>
    <x v="0"/>
    <n v="1005"/>
    <x v="1"/>
    <n v="3"/>
    <n v="3"/>
    <x v="4"/>
    <n v="1"/>
    <n v="297"/>
    <n v="4"/>
    <x v="0"/>
    <n v="88"/>
    <n v="3"/>
    <x v="1"/>
    <s v="Research Scientist"/>
    <n v="1"/>
    <s v="Single"/>
    <x v="210"/>
    <n v="8556"/>
    <n v="5"/>
    <s v="Y"/>
    <x v="0"/>
    <n v="11"/>
    <n v="3"/>
    <n v="3"/>
    <x v="0"/>
    <n v="0"/>
    <n v="8"/>
    <n v="5"/>
    <n v="3"/>
    <n v="5"/>
    <n v="2"/>
    <x v="0"/>
    <n v="4"/>
  </r>
  <r>
    <n v="41"/>
    <x v="1"/>
    <x v="0"/>
    <n v="896"/>
    <x v="0"/>
    <n v="6"/>
    <n v="3"/>
    <x v="0"/>
    <n v="1"/>
    <n v="298"/>
    <n v="4"/>
    <x v="0"/>
    <n v="75"/>
    <n v="3"/>
    <x v="2"/>
    <s v="Manager"/>
    <n v="4"/>
    <s v="Single"/>
    <x v="211"/>
    <n v="14674"/>
    <n v="3"/>
    <s v="Y"/>
    <x v="0"/>
    <n v="18"/>
    <n v="3"/>
    <n v="3"/>
    <x v="0"/>
    <n v="0"/>
    <n v="16"/>
    <n v="3"/>
    <n v="3"/>
    <n v="1"/>
    <n v="0"/>
    <x v="0"/>
    <n v="0"/>
  </r>
  <r>
    <n v="30"/>
    <x v="0"/>
    <x v="1"/>
    <n v="334"/>
    <x v="0"/>
    <n v="26"/>
    <n v="4"/>
    <x v="3"/>
    <n v="1"/>
    <n v="299"/>
    <n v="3"/>
    <x v="0"/>
    <n v="52"/>
    <n v="2"/>
    <x v="0"/>
    <s v="Sales Executive"/>
    <n v="1"/>
    <s v="Single"/>
    <x v="212"/>
    <n v="22967"/>
    <n v="5"/>
    <s v="Y"/>
    <x v="1"/>
    <n v="15"/>
    <n v="3"/>
    <n v="3"/>
    <x v="0"/>
    <n v="0"/>
    <n v="9"/>
    <n v="5"/>
    <n v="2"/>
    <n v="6"/>
    <n v="3"/>
    <x v="0"/>
    <n v="1"/>
  </r>
  <r>
    <n v="29"/>
    <x v="0"/>
    <x v="0"/>
    <n v="992"/>
    <x v="1"/>
    <n v="1"/>
    <n v="3"/>
    <x v="4"/>
    <n v="1"/>
    <n v="300"/>
    <n v="3"/>
    <x v="1"/>
    <n v="85"/>
    <n v="3"/>
    <x v="1"/>
    <s v="Research Scientist"/>
    <n v="3"/>
    <s v="Single"/>
    <x v="213"/>
    <n v="19757"/>
    <n v="0"/>
    <s v="Y"/>
    <x v="1"/>
    <n v="14"/>
    <n v="3"/>
    <n v="4"/>
    <x v="0"/>
    <n v="0"/>
    <n v="7"/>
    <n v="1"/>
    <n v="2"/>
    <n v="6"/>
    <n v="2"/>
    <x v="1"/>
    <n v="5"/>
  </r>
  <r>
    <n v="45"/>
    <x v="1"/>
    <x v="2"/>
    <n v="1052"/>
    <x v="0"/>
    <n v="6"/>
    <n v="3"/>
    <x v="2"/>
    <n v="1"/>
    <n v="302"/>
    <n v="4"/>
    <x v="0"/>
    <n v="57"/>
    <n v="2"/>
    <x v="2"/>
    <s v="Sales Executive"/>
    <n v="4"/>
    <s v="Single"/>
    <x v="214"/>
    <n v="16840"/>
    <n v="6"/>
    <s v="Y"/>
    <x v="1"/>
    <n v="12"/>
    <n v="3"/>
    <n v="4"/>
    <x v="0"/>
    <n v="0"/>
    <n v="23"/>
    <n v="2"/>
    <n v="3"/>
    <n v="19"/>
    <n v="7"/>
    <x v="12"/>
    <n v="8"/>
  </r>
  <r>
    <n v="54"/>
    <x v="1"/>
    <x v="0"/>
    <n v="1147"/>
    <x v="0"/>
    <n v="3"/>
    <n v="3"/>
    <x v="3"/>
    <n v="1"/>
    <n v="303"/>
    <n v="4"/>
    <x v="0"/>
    <n v="52"/>
    <n v="3"/>
    <x v="0"/>
    <s v="Sales Executive"/>
    <n v="1"/>
    <s v="Married"/>
    <x v="215"/>
    <n v="17011"/>
    <n v="2"/>
    <s v="Y"/>
    <x v="1"/>
    <n v="14"/>
    <n v="3"/>
    <n v="4"/>
    <x v="0"/>
    <n v="1"/>
    <n v="16"/>
    <n v="4"/>
    <n v="3"/>
    <n v="6"/>
    <n v="2"/>
    <x v="0"/>
    <n v="5"/>
  </r>
  <r>
    <n v="36"/>
    <x v="1"/>
    <x v="0"/>
    <n v="1396"/>
    <x v="1"/>
    <n v="5"/>
    <n v="2"/>
    <x v="0"/>
    <n v="1"/>
    <n v="304"/>
    <n v="4"/>
    <x v="1"/>
    <n v="62"/>
    <n v="3"/>
    <x v="0"/>
    <s v="Laboratory Technician"/>
    <n v="2"/>
    <s v="Single"/>
    <x v="216"/>
    <n v="9945"/>
    <n v="8"/>
    <s v="Y"/>
    <x v="1"/>
    <n v="16"/>
    <n v="3"/>
    <n v="4"/>
    <x v="0"/>
    <n v="0"/>
    <n v="16"/>
    <n v="3"/>
    <n v="4"/>
    <n v="13"/>
    <n v="11"/>
    <x v="2"/>
    <n v="7"/>
  </r>
  <r>
    <n v="33"/>
    <x v="1"/>
    <x v="0"/>
    <n v="147"/>
    <x v="1"/>
    <n v="4"/>
    <n v="4"/>
    <x v="2"/>
    <n v="1"/>
    <n v="305"/>
    <n v="3"/>
    <x v="0"/>
    <n v="47"/>
    <n v="2"/>
    <x v="1"/>
    <s v="Research Scientist"/>
    <n v="2"/>
    <s v="Married"/>
    <x v="217"/>
    <n v="13248"/>
    <n v="6"/>
    <s v="Y"/>
    <x v="1"/>
    <n v="21"/>
    <n v="4"/>
    <n v="4"/>
    <x v="0"/>
    <n v="0"/>
    <n v="7"/>
    <n v="3"/>
    <n v="3"/>
    <n v="3"/>
    <n v="2"/>
    <x v="1"/>
    <n v="1"/>
  </r>
  <r>
    <n v="37"/>
    <x v="1"/>
    <x v="1"/>
    <n v="663"/>
    <x v="1"/>
    <n v="11"/>
    <n v="3"/>
    <x v="1"/>
    <n v="1"/>
    <n v="306"/>
    <n v="2"/>
    <x v="1"/>
    <n v="47"/>
    <n v="3"/>
    <x v="2"/>
    <s v="Research Director"/>
    <n v="4"/>
    <s v="Divorced"/>
    <x v="218"/>
    <n v="10056"/>
    <n v="1"/>
    <s v="Y"/>
    <x v="0"/>
    <n v="14"/>
    <n v="3"/>
    <n v="3"/>
    <x v="0"/>
    <n v="3"/>
    <n v="10"/>
    <n v="1"/>
    <n v="3"/>
    <n v="10"/>
    <n v="8"/>
    <x v="0"/>
    <n v="7"/>
  </r>
  <r>
    <n v="38"/>
    <x v="1"/>
    <x v="0"/>
    <n v="119"/>
    <x v="0"/>
    <n v="3"/>
    <n v="3"/>
    <x v="0"/>
    <n v="1"/>
    <n v="307"/>
    <n v="1"/>
    <x v="1"/>
    <n v="76"/>
    <n v="3"/>
    <x v="2"/>
    <s v="Sales Executive"/>
    <n v="3"/>
    <s v="Divorced"/>
    <x v="219"/>
    <n v="9647"/>
    <n v="0"/>
    <s v="Y"/>
    <x v="1"/>
    <n v="12"/>
    <n v="3"/>
    <n v="3"/>
    <x v="0"/>
    <n v="2"/>
    <n v="17"/>
    <n v="6"/>
    <n v="2"/>
    <n v="16"/>
    <n v="10"/>
    <x v="8"/>
    <n v="13"/>
  </r>
  <r>
    <n v="31"/>
    <x v="1"/>
    <x v="2"/>
    <n v="979"/>
    <x v="1"/>
    <n v="1"/>
    <n v="4"/>
    <x v="2"/>
    <n v="1"/>
    <n v="308"/>
    <n v="3"/>
    <x v="1"/>
    <n v="90"/>
    <n v="1"/>
    <x v="0"/>
    <s v="Manufacturing Director"/>
    <n v="3"/>
    <s v="Married"/>
    <x v="220"/>
    <n v="4381"/>
    <n v="0"/>
    <s v="Y"/>
    <x v="1"/>
    <n v="12"/>
    <n v="3"/>
    <n v="4"/>
    <x v="0"/>
    <n v="1"/>
    <n v="6"/>
    <n v="2"/>
    <n v="3"/>
    <n v="5"/>
    <n v="4"/>
    <x v="1"/>
    <n v="4"/>
  </r>
  <r>
    <n v="59"/>
    <x v="1"/>
    <x v="0"/>
    <n v="142"/>
    <x v="1"/>
    <n v="3"/>
    <n v="3"/>
    <x v="0"/>
    <n v="1"/>
    <n v="309"/>
    <n v="3"/>
    <x v="1"/>
    <n v="70"/>
    <n v="2"/>
    <x v="1"/>
    <s v="Research Scientist"/>
    <n v="4"/>
    <s v="Married"/>
    <x v="221"/>
    <n v="8456"/>
    <n v="3"/>
    <s v="Y"/>
    <x v="1"/>
    <n v="17"/>
    <n v="3"/>
    <n v="1"/>
    <x v="0"/>
    <n v="1"/>
    <n v="7"/>
    <n v="6"/>
    <n v="3"/>
    <n v="1"/>
    <n v="0"/>
    <x v="0"/>
    <n v="0"/>
  </r>
  <r>
    <n v="37"/>
    <x v="1"/>
    <x v="1"/>
    <n v="319"/>
    <x v="0"/>
    <n v="4"/>
    <n v="4"/>
    <x v="3"/>
    <n v="1"/>
    <n v="311"/>
    <n v="1"/>
    <x v="1"/>
    <n v="41"/>
    <n v="3"/>
    <x v="1"/>
    <s v="Sales Representative"/>
    <n v="4"/>
    <s v="Divorced"/>
    <x v="222"/>
    <n v="2539"/>
    <n v="4"/>
    <s v="Y"/>
    <x v="1"/>
    <n v="17"/>
    <n v="3"/>
    <n v="3"/>
    <x v="0"/>
    <n v="1"/>
    <n v="13"/>
    <n v="2"/>
    <n v="3"/>
    <n v="9"/>
    <n v="8"/>
    <x v="8"/>
    <n v="8"/>
  </r>
  <r>
    <n v="29"/>
    <x v="1"/>
    <x v="1"/>
    <n v="1413"/>
    <x v="0"/>
    <n v="1"/>
    <n v="1"/>
    <x v="2"/>
    <n v="1"/>
    <n v="312"/>
    <n v="2"/>
    <x v="0"/>
    <n v="42"/>
    <n v="3"/>
    <x v="2"/>
    <s v="Sales Executive"/>
    <n v="4"/>
    <s v="Married"/>
    <x v="223"/>
    <n v="6599"/>
    <n v="1"/>
    <s v="Y"/>
    <x v="1"/>
    <n v="14"/>
    <n v="3"/>
    <n v="4"/>
    <x v="0"/>
    <n v="1"/>
    <n v="11"/>
    <n v="5"/>
    <n v="3"/>
    <n v="11"/>
    <n v="10"/>
    <x v="5"/>
    <n v="1"/>
  </r>
  <r>
    <n v="35"/>
    <x v="1"/>
    <x v="1"/>
    <n v="944"/>
    <x v="0"/>
    <n v="1"/>
    <n v="3"/>
    <x v="3"/>
    <n v="1"/>
    <n v="314"/>
    <n v="3"/>
    <x v="0"/>
    <n v="92"/>
    <n v="3"/>
    <x v="2"/>
    <s v="Sales Executive"/>
    <n v="3"/>
    <s v="Single"/>
    <x v="224"/>
    <n v="9096"/>
    <n v="1"/>
    <s v="Y"/>
    <x v="1"/>
    <n v="14"/>
    <n v="3"/>
    <n v="1"/>
    <x v="0"/>
    <n v="0"/>
    <n v="10"/>
    <n v="3"/>
    <n v="4"/>
    <n v="10"/>
    <n v="7"/>
    <x v="0"/>
    <n v="8"/>
  </r>
  <r>
    <n v="29"/>
    <x v="0"/>
    <x v="0"/>
    <n v="896"/>
    <x v="1"/>
    <n v="18"/>
    <n v="1"/>
    <x v="2"/>
    <n v="1"/>
    <n v="315"/>
    <n v="3"/>
    <x v="1"/>
    <n v="86"/>
    <n v="2"/>
    <x v="1"/>
    <s v="Research Scientist"/>
    <n v="4"/>
    <s v="Single"/>
    <x v="225"/>
    <n v="14961"/>
    <n v="1"/>
    <s v="Y"/>
    <x v="0"/>
    <n v="13"/>
    <n v="3"/>
    <n v="3"/>
    <x v="0"/>
    <n v="0"/>
    <n v="4"/>
    <n v="3"/>
    <n v="2"/>
    <n v="4"/>
    <n v="3"/>
    <x v="0"/>
    <n v="1"/>
  </r>
  <r>
    <n v="52"/>
    <x v="1"/>
    <x v="0"/>
    <n v="1323"/>
    <x v="1"/>
    <n v="2"/>
    <n v="3"/>
    <x v="0"/>
    <n v="1"/>
    <n v="316"/>
    <n v="3"/>
    <x v="0"/>
    <n v="89"/>
    <n v="2"/>
    <x v="1"/>
    <s v="Laboratory Technician"/>
    <n v="4"/>
    <s v="Single"/>
    <x v="226"/>
    <n v="3300"/>
    <n v="7"/>
    <s v="Y"/>
    <x v="1"/>
    <n v="15"/>
    <n v="3"/>
    <n v="2"/>
    <x v="0"/>
    <n v="0"/>
    <n v="6"/>
    <n v="3"/>
    <n v="2"/>
    <n v="2"/>
    <n v="2"/>
    <x v="3"/>
    <n v="2"/>
  </r>
  <r>
    <n v="42"/>
    <x v="1"/>
    <x v="0"/>
    <n v="532"/>
    <x v="1"/>
    <n v="4"/>
    <n v="2"/>
    <x v="4"/>
    <n v="1"/>
    <n v="319"/>
    <n v="3"/>
    <x v="1"/>
    <n v="58"/>
    <n v="3"/>
    <x v="4"/>
    <s v="Manager"/>
    <n v="4"/>
    <s v="Married"/>
    <x v="227"/>
    <n v="4933"/>
    <n v="1"/>
    <s v="Y"/>
    <x v="1"/>
    <n v="11"/>
    <n v="3"/>
    <n v="4"/>
    <x v="0"/>
    <n v="0"/>
    <n v="22"/>
    <n v="3"/>
    <n v="3"/>
    <n v="22"/>
    <n v="17"/>
    <x v="14"/>
    <n v="15"/>
  </r>
  <r>
    <n v="59"/>
    <x v="1"/>
    <x v="0"/>
    <n v="818"/>
    <x v="2"/>
    <n v="6"/>
    <n v="2"/>
    <x v="2"/>
    <n v="1"/>
    <n v="321"/>
    <n v="2"/>
    <x v="1"/>
    <n v="52"/>
    <n v="3"/>
    <x v="1"/>
    <s v="Human Resources"/>
    <n v="3"/>
    <s v="Married"/>
    <x v="228"/>
    <n v="25657"/>
    <n v="8"/>
    <s v="Y"/>
    <x v="1"/>
    <n v="17"/>
    <n v="3"/>
    <n v="4"/>
    <x v="0"/>
    <n v="0"/>
    <n v="7"/>
    <n v="2"/>
    <n v="2"/>
    <n v="2"/>
    <n v="2"/>
    <x v="3"/>
    <n v="2"/>
  </r>
  <r>
    <n v="50"/>
    <x v="1"/>
    <x v="0"/>
    <n v="854"/>
    <x v="0"/>
    <n v="1"/>
    <n v="4"/>
    <x v="2"/>
    <n v="1"/>
    <n v="323"/>
    <n v="4"/>
    <x v="0"/>
    <n v="68"/>
    <n v="3"/>
    <x v="4"/>
    <s v="Manager"/>
    <n v="4"/>
    <s v="Divorced"/>
    <x v="229"/>
    <n v="24118"/>
    <n v="3"/>
    <s v="Y"/>
    <x v="1"/>
    <n v="11"/>
    <n v="3"/>
    <n v="3"/>
    <x v="0"/>
    <n v="1"/>
    <n v="32"/>
    <n v="3"/>
    <n v="2"/>
    <n v="7"/>
    <n v="0"/>
    <x v="0"/>
    <n v="6"/>
  </r>
  <r>
    <n v="33"/>
    <x v="0"/>
    <x v="0"/>
    <n v="813"/>
    <x v="1"/>
    <n v="14"/>
    <n v="3"/>
    <x v="2"/>
    <n v="1"/>
    <n v="325"/>
    <n v="3"/>
    <x v="1"/>
    <n v="58"/>
    <n v="3"/>
    <x v="1"/>
    <s v="Laboratory Technician"/>
    <n v="4"/>
    <s v="Married"/>
    <x v="230"/>
    <n v="22149"/>
    <n v="5"/>
    <s v="Y"/>
    <x v="0"/>
    <n v="13"/>
    <n v="3"/>
    <n v="3"/>
    <x v="0"/>
    <n v="1"/>
    <n v="8"/>
    <n v="2"/>
    <n v="1"/>
    <n v="5"/>
    <n v="4"/>
    <x v="0"/>
    <n v="4"/>
  </r>
  <r>
    <n v="43"/>
    <x v="1"/>
    <x v="0"/>
    <n v="1034"/>
    <x v="0"/>
    <n v="16"/>
    <n v="3"/>
    <x v="3"/>
    <n v="1"/>
    <n v="327"/>
    <n v="4"/>
    <x v="0"/>
    <n v="80"/>
    <n v="3"/>
    <x v="3"/>
    <s v="Manager"/>
    <n v="4"/>
    <s v="Married"/>
    <x v="231"/>
    <n v="7744"/>
    <n v="5"/>
    <s v="Y"/>
    <x v="0"/>
    <n v="22"/>
    <n v="4"/>
    <n v="3"/>
    <x v="0"/>
    <n v="1"/>
    <n v="22"/>
    <n v="3"/>
    <n v="3"/>
    <n v="17"/>
    <n v="13"/>
    <x v="1"/>
    <n v="9"/>
  </r>
  <r>
    <n v="33"/>
    <x v="0"/>
    <x v="0"/>
    <n v="465"/>
    <x v="1"/>
    <n v="2"/>
    <n v="2"/>
    <x v="0"/>
    <n v="1"/>
    <n v="328"/>
    <n v="1"/>
    <x v="0"/>
    <n v="39"/>
    <n v="3"/>
    <x v="1"/>
    <s v="Laboratory Technician"/>
    <n v="1"/>
    <s v="Married"/>
    <x v="232"/>
    <n v="21509"/>
    <n v="7"/>
    <s v="Y"/>
    <x v="1"/>
    <n v="20"/>
    <n v="4"/>
    <n v="1"/>
    <x v="0"/>
    <n v="0"/>
    <n v="13"/>
    <n v="3"/>
    <n v="4"/>
    <n v="9"/>
    <n v="7"/>
    <x v="1"/>
    <n v="7"/>
  </r>
  <r>
    <n v="52"/>
    <x v="1"/>
    <x v="2"/>
    <n v="771"/>
    <x v="0"/>
    <n v="2"/>
    <n v="4"/>
    <x v="0"/>
    <n v="1"/>
    <n v="329"/>
    <n v="1"/>
    <x v="1"/>
    <n v="79"/>
    <n v="2"/>
    <x v="4"/>
    <s v="Manager"/>
    <n v="3"/>
    <s v="Single"/>
    <x v="233"/>
    <n v="21030"/>
    <n v="1"/>
    <s v="Y"/>
    <x v="0"/>
    <n v="18"/>
    <n v="3"/>
    <n v="4"/>
    <x v="0"/>
    <n v="0"/>
    <n v="33"/>
    <n v="2"/>
    <n v="4"/>
    <n v="33"/>
    <n v="7"/>
    <x v="9"/>
    <n v="12"/>
  </r>
  <r>
    <n v="32"/>
    <x v="1"/>
    <x v="0"/>
    <n v="1401"/>
    <x v="0"/>
    <n v="4"/>
    <n v="2"/>
    <x v="0"/>
    <n v="1"/>
    <n v="330"/>
    <n v="3"/>
    <x v="0"/>
    <n v="56"/>
    <n v="3"/>
    <x v="1"/>
    <s v="Sales Representative"/>
    <n v="2"/>
    <s v="Married"/>
    <x v="234"/>
    <n v="20990"/>
    <n v="2"/>
    <s v="Y"/>
    <x v="1"/>
    <n v="11"/>
    <n v="3"/>
    <n v="1"/>
    <x v="0"/>
    <n v="1"/>
    <n v="6"/>
    <n v="5"/>
    <n v="3"/>
    <n v="4"/>
    <n v="3"/>
    <x v="1"/>
    <n v="2"/>
  </r>
  <r>
    <n v="32"/>
    <x v="0"/>
    <x v="0"/>
    <n v="515"/>
    <x v="1"/>
    <n v="1"/>
    <n v="3"/>
    <x v="0"/>
    <n v="1"/>
    <n v="331"/>
    <n v="4"/>
    <x v="1"/>
    <n v="62"/>
    <n v="2"/>
    <x v="1"/>
    <s v="Laboratory Technician"/>
    <n v="3"/>
    <s v="Single"/>
    <x v="235"/>
    <n v="9571"/>
    <n v="0"/>
    <s v="Y"/>
    <x v="0"/>
    <n v="14"/>
    <n v="3"/>
    <n v="4"/>
    <x v="0"/>
    <n v="0"/>
    <n v="4"/>
    <n v="2"/>
    <n v="1"/>
    <n v="3"/>
    <n v="2"/>
    <x v="1"/>
    <n v="2"/>
  </r>
  <r>
    <n v="39"/>
    <x v="1"/>
    <x v="0"/>
    <n v="1431"/>
    <x v="1"/>
    <n v="1"/>
    <n v="4"/>
    <x v="2"/>
    <n v="1"/>
    <n v="332"/>
    <n v="3"/>
    <x v="0"/>
    <n v="96"/>
    <n v="3"/>
    <x v="1"/>
    <s v="Laboratory Technician"/>
    <n v="3"/>
    <s v="Divorced"/>
    <x v="236"/>
    <n v="15417"/>
    <n v="7"/>
    <s v="Y"/>
    <x v="1"/>
    <n v="14"/>
    <n v="3"/>
    <n v="3"/>
    <x v="0"/>
    <n v="3"/>
    <n v="7"/>
    <n v="1"/>
    <n v="3"/>
    <n v="3"/>
    <n v="2"/>
    <x v="1"/>
    <n v="2"/>
  </r>
  <r>
    <n v="32"/>
    <x v="1"/>
    <x v="2"/>
    <n v="976"/>
    <x v="0"/>
    <n v="26"/>
    <n v="4"/>
    <x v="3"/>
    <n v="1"/>
    <n v="333"/>
    <n v="3"/>
    <x v="1"/>
    <n v="100"/>
    <n v="3"/>
    <x v="0"/>
    <s v="Sales Executive"/>
    <n v="4"/>
    <s v="Married"/>
    <x v="237"/>
    <n v="12069"/>
    <n v="0"/>
    <s v="Y"/>
    <x v="1"/>
    <n v="18"/>
    <n v="3"/>
    <n v="1"/>
    <x v="0"/>
    <n v="0"/>
    <n v="4"/>
    <n v="2"/>
    <n v="3"/>
    <n v="3"/>
    <n v="2"/>
    <x v="3"/>
    <n v="2"/>
  </r>
  <r>
    <n v="41"/>
    <x v="1"/>
    <x v="0"/>
    <n v="1411"/>
    <x v="1"/>
    <n v="19"/>
    <n v="2"/>
    <x v="0"/>
    <n v="1"/>
    <n v="334"/>
    <n v="3"/>
    <x v="1"/>
    <n v="36"/>
    <n v="3"/>
    <x v="0"/>
    <s v="Research Scientist"/>
    <n v="1"/>
    <s v="Divorced"/>
    <x v="169"/>
    <n v="19877"/>
    <n v="2"/>
    <s v="Y"/>
    <x v="1"/>
    <n v="16"/>
    <n v="3"/>
    <n v="1"/>
    <x v="0"/>
    <n v="2"/>
    <n v="17"/>
    <n v="2"/>
    <n v="2"/>
    <n v="1"/>
    <n v="0"/>
    <x v="0"/>
    <n v="0"/>
  </r>
  <r>
    <n v="40"/>
    <x v="1"/>
    <x v="0"/>
    <n v="1300"/>
    <x v="1"/>
    <n v="24"/>
    <n v="2"/>
    <x v="4"/>
    <n v="1"/>
    <n v="335"/>
    <n v="1"/>
    <x v="1"/>
    <n v="62"/>
    <n v="3"/>
    <x v="0"/>
    <s v="Research Scientist"/>
    <n v="4"/>
    <s v="Divorced"/>
    <x v="238"/>
    <n v="24447"/>
    <n v="1"/>
    <s v="Y"/>
    <x v="1"/>
    <n v="17"/>
    <n v="3"/>
    <n v="1"/>
    <x v="0"/>
    <n v="2"/>
    <n v="9"/>
    <n v="3"/>
    <n v="3"/>
    <n v="9"/>
    <n v="8"/>
    <x v="5"/>
    <n v="7"/>
  </r>
  <r>
    <n v="45"/>
    <x v="1"/>
    <x v="0"/>
    <n v="252"/>
    <x v="1"/>
    <n v="1"/>
    <n v="3"/>
    <x v="1"/>
    <n v="1"/>
    <n v="336"/>
    <n v="3"/>
    <x v="1"/>
    <n v="70"/>
    <n v="4"/>
    <x v="4"/>
    <s v="Manager"/>
    <n v="4"/>
    <s v="Married"/>
    <x v="239"/>
    <n v="15970"/>
    <n v="0"/>
    <s v="Y"/>
    <x v="1"/>
    <n v="11"/>
    <n v="3"/>
    <n v="3"/>
    <x v="0"/>
    <n v="1"/>
    <n v="25"/>
    <n v="2"/>
    <n v="3"/>
    <n v="24"/>
    <n v="0"/>
    <x v="1"/>
    <n v="7"/>
  </r>
  <r>
    <n v="31"/>
    <x v="1"/>
    <x v="1"/>
    <n v="1327"/>
    <x v="1"/>
    <n v="3"/>
    <n v="4"/>
    <x v="2"/>
    <n v="1"/>
    <n v="337"/>
    <n v="2"/>
    <x v="1"/>
    <n v="73"/>
    <n v="3"/>
    <x v="2"/>
    <s v="Research Director"/>
    <n v="3"/>
    <s v="Divorced"/>
    <x v="240"/>
    <n v="13523"/>
    <n v="9"/>
    <s v="Y"/>
    <x v="1"/>
    <n v="12"/>
    <n v="3"/>
    <n v="1"/>
    <x v="0"/>
    <n v="1"/>
    <n v="9"/>
    <n v="3"/>
    <n v="3"/>
    <n v="2"/>
    <n v="2"/>
    <x v="3"/>
    <n v="2"/>
  </r>
  <r>
    <n v="33"/>
    <x v="1"/>
    <x v="0"/>
    <n v="832"/>
    <x v="1"/>
    <n v="5"/>
    <n v="4"/>
    <x v="0"/>
    <n v="1"/>
    <n v="338"/>
    <n v="3"/>
    <x v="0"/>
    <n v="63"/>
    <n v="2"/>
    <x v="1"/>
    <s v="Research Scientist"/>
    <n v="4"/>
    <s v="Married"/>
    <x v="12"/>
    <n v="14776"/>
    <n v="1"/>
    <s v="Y"/>
    <x v="1"/>
    <n v="13"/>
    <n v="3"/>
    <n v="3"/>
    <x v="0"/>
    <n v="1"/>
    <n v="2"/>
    <n v="2"/>
    <n v="2"/>
    <n v="2"/>
    <n v="2"/>
    <x v="0"/>
    <n v="2"/>
  </r>
  <r>
    <n v="34"/>
    <x v="1"/>
    <x v="0"/>
    <n v="470"/>
    <x v="1"/>
    <n v="2"/>
    <n v="4"/>
    <x v="0"/>
    <n v="1"/>
    <n v="339"/>
    <n v="4"/>
    <x v="1"/>
    <n v="84"/>
    <n v="2"/>
    <x v="0"/>
    <s v="Manufacturing Director"/>
    <n v="1"/>
    <s v="Married"/>
    <x v="241"/>
    <n v="23687"/>
    <n v="6"/>
    <s v="Y"/>
    <x v="1"/>
    <n v="13"/>
    <n v="3"/>
    <n v="2"/>
    <x v="0"/>
    <n v="1"/>
    <n v="13"/>
    <n v="3"/>
    <n v="3"/>
    <n v="11"/>
    <n v="9"/>
    <x v="8"/>
    <n v="9"/>
  </r>
  <r>
    <n v="37"/>
    <x v="1"/>
    <x v="0"/>
    <n v="1017"/>
    <x v="1"/>
    <n v="1"/>
    <n v="2"/>
    <x v="2"/>
    <n v="1"/>
    <n v="340"/>
    <n v="3"/>
    <x v="0"/>
    <n v="83"/>
    <n v="2"/>
    <x v="1"/>
    <s v="Research Scientist"/>
    <n v="1"/>
    <s v="Married"/>
    <x v="242"/>
    <n v="18697"/>
    <n v="2"/>
    <s v="Y"/>
    <x v="1"/>
    <n v="14"/>
    <n v="3"/>
    <n v="1"/>
    <x v="0"/>
    <n v="1"/>
    <n v="17"/>
    <n v="2"/>
    <n v="2"/>
    <n v="3"/>
    <n v="1"/>
    <x v="0"/>
    <n v="2"/>
  </r>
  <r>
    <n v="45"/>
    <x v="1"/>
    <x v="1"/>
    <n v="1199"/>
    <x v="1"/>
    <n v="7"/>
    <n v="4"/>
    <x v="0"/>
    <n v="1"/>
    <n v="341"/>
    <n v="1"/>
    <x v="1"/>
    <n v="77"/>
    <n v="4"/>
    <x v="0"/>
    <s v="Manufacturing Director"/>
    <n v="3"/>
    <s v="Married"/>
    <x v="243"/>
    <n v="5118"/>
    <n v="4"/>
    <s v="Y"/>
    <x v="1"/>
    <n v="17"/>
    <n v="3"/>
    <n v="4"/>
    <x v="0"/>
    <n v="1"/>
    <n v="9"/>
    <n v="1"/>
    <n v="3"/>
    <n v="3"/>
    <n v="2"/>
    <x v="0"/>
    <n v="2"/>
  </r>
  <r>
    <n v="37"/>
    <x v="0"/>
    <x v="1"/>
    <n v="504"/>
    <x v="1"/>
    <n v="10"/>
    <n v="3"/>
    <x v="2"/>
    <n v="1"/>
    <n v="342"/>
    <n v="1"/>
    <x v="1"/>
    <n v="61"/>
    <n v="3"/>
    <x v="2"/>
    <s v="Manufacturing Director"/>
    <n v="3"/>
    <s v="Divorced"/>
    <x v="244"/>
    <n v="22573"/>
    <n v="6"/>
    <s v="Y"/>
    <x v="1"/>
    <n v="11"/>
    <n v="3"/>
    <n v="2"/>
    <x v="0"/>
    <n v="2"/>
    <n v="17"/>
    <n v="5"/>
    <n v="3"/>
    <n v="1"/>
    <n v="0"/>
    <x v="0"/>
    <n v="0"/>
  </r>
  <r>
    <n v="39"/>
    <x v="1"/>
    <x v="1"/>
    <n v="505"/>
    <x v="1"/>
    <n v="2"/>
    <n v="4"/>
    <x v="4"/>
    <n v="1"/>
    <n v="343"/>
    <n v="3"/>
    <x v="0"/>
    <n v="64"/>
    <n v="3"/>
    <x v="2"/>
    <s v="Healthcare Representative"/>
    <n v="3"/>
    <s v="Single"/>
    <x v="245"/>
    <n v="6420"/>
    <n v="0"/>
    <s v="Y"/>
    <x v="1"/>
    <n v="25"/>
    <n v="4"/>
    <n v="4"/>
    <x v="0"/>
    <n v="0"/>
    <n v="20"/>
    <n v="1"/>
    <n v="3"/>
    <n v="19"/>
    <n v="6"/>
    <x v="14"/>
    <n v="8"/>
  </r>
  <r>
    <n v="29"/>
    <x v="1"/>
    <x v="0"/>
    <n v="665"/>
    <x v="1"/>
    <n v="15"/>
    <n v="3"/>
    <x v="0"/>
    <n v="1"/>
    <n v="346"/>
    <n v="3"/>
    <x v="1"/>
    <n v="60"/>
    <n v="3"/>
    <x v="1"/>
    <s v="Research Scientist"/>
    <n v="4"/>
    <s v="Single"/>
    <x v="246"/>
    <n v="22673"/>
    <n v="1"/>
    <s v="Y"/>
    <x v="1"/>
    <n v="19"/>
    <n v="3"/>
    <n v="1"/>
    <x v="0"/>
    <n v="0"/>
    <n v="6"/>
    <n v="1"/>
    <n v="3"/>
    <n v="6"/>
    <n v="5"/>
    <x v="1"/>
    <n v="5"/>
  </r>
  <r>
    <n v="42"/>
    <x v="1"/>
    <x v="0"/>
    <n v="916"/>
    <x v="1"/>
    <n v="17"/>
    <n v="2"/>
    <x v="0"/>
    <n v="1"/>
    <n v="347"/>
    <n v="4"/>
    <x v="0"/>
    <n v="82"/>
    <n v="4"/>
    <x v="0"/>
    <s v="Research Scientist"/>
    <n v="1"/>
    <s v="Single"/>
    <x v="247"/>
    <n v="23016"/>
    <n v="3"/>
    <s v="Y"/>
    <x v="0"/>
    <n v="13"/>
    <n v="3"/>
    <n v="3"/>
    <x v="0"/>
    <n v="0"/>
    <n v="10"/>
    <n v="1"/>
    <n v="3"/>
    <n v="3"/>
    <n v="2"/>
    <x v="0"/>
    <n v="2"/>
  </r>
  <r>
    <n v="29"/>
    <x v="1"/>
    <x v="0"/>
    <n v="1247"/>
    <x v="0"/>
    <n v="20"/>
    <n v="2"/>
    <x v="3"/>
    <n v="1"/>
    <n v="349"/>
    <n v="4"/>
    <x v="1"/>
    <n v="45"/>
    <n v="3"/>
    <x v="0"/>
    <s v="Sales Executive"/>
    <n v="4"/>
    <s v="Divorced"/>
    <x v="248"/>
    <n v="10732"/>
    <n v="2"/>
    <s v="Y"/>
    <x v="1"/>
    <n v="14"/>
    <n v="3"/>
    <n v="4"/>
    <x v="0"/>
    <n v="1"/>
    <n v="10"/>
    <n v="2"/>
    <n v="3"/>
    <n v="3"/>
    <n v="2"/>
    <x v="0"/>
    <n v="2"/>
  </r>
  <r>
    <n v="25"/>
    <x v="1"/>
    <x v="0"/>
    <n v="685"/>
    <x v="1"/>
    <n v="1"/>
    <n v="3"/>
    <x v="0"/>
    <n v="1"/>
    <n v="350"/>
    <n v="1"/>
    <x v="0"/>
    <n v="62"/>
    <n v="3"/>
    <x v="0"/>
    <s v="Manufacturing Director"/>
    <n v="3"/>
    <s v="Married"/>
    <x v="249"/>
    <n v="7505"/>
    <n v="0"/>
    <s v="Y"/>
    <x v="1"/>
    <n v="12"/>
    <n v="3"/>
    <n v="4"/>
    <x v="0"/>
    <n v="2"/>
    <n v="5"/>
    <n v="3"/>
    <n v="3"/>
    <n v="4"/>
    <n v="2"/>
    <x v="1"/>
    <n v="2"/>
  </r>
  <r>
    <n v="42"/>
    <x v="1"/>
    <x v="0"/>
    <n v="269"/>
    <x v="1"/>
    <n v="2"/>
    <n v="3"/>
    <x v="2"/>
    <n v="1"/>
    <n v="351"/>
    <n v="4"/>
    <x v="0"/>
    <n v="56"/>
    <n v="2"/>
    <x v="1"/>
    <s v="Laboratory Technician"/>
    <n v="1"/>
    <s v="Divorced"/>
    <x v="250"/>
    <n v="8007"/>
    <n v="0"/>
    <s v="Y"/>
    <x v="0"/>
    <n v="11"/>
    <n v="3"/>
    <n v="3"/>
    <x v="0"/>
    <n v="1"/>
    <n v="10"/>
    <n v="4"/>
    <n v="3"/>
    <n v="9"/>
    <n v="6"/>
    <x v="4"/>
    <n v="8"/>
  </r>
  <r>
    <n v="40"/>
    <x v="1"/>
    <x v="0"/>
    <n v="1416"/>
    <x v="1"/>
    <n v="2"/>
    <n v="2"/>
    <x v="2"/>
    <n v="1"/>
    <n v="352"/>
    <n v="1"/>
    <x v="1"/>
    <n v="49"/>
    <n v="3"/>
    <x v="4"/>
    <s v="Research Director"/>
    <n v="3"/>
    <s v="Divorced"/>
    <x v="251"/>
    <n v="5949"/>
    <n v="0"/>
    <s v="Y"/>
    <x v="1"/>
    <n v="19"/>
    <n v="3"/>
    <n v="4"/>
    <x v="0"/>
    <n v="1"/>
    <n v="22"/>
    <n v="5"/>
    <n v="3"/>
    <n v="21"/>
    <n v="7"/>
    <x v="2"/>
    <n v="9"/>
  </r>
  <r>
    <n v="51"/>
    <x v="1"/>
    <x v="0"/>
    <n v="833"/>
    <x v="1"/>
    <n v="1"/>
    <n v="3"/>
    <x v="0"/>
    <n v="1"/>
    <n v="353"/>
    <n v="3"/>
    <x v="1"/>
    <n v="96"/>
    <n v="3"/>
    <x v="1"/>
    <s v="Research Scientist"/>
    <n v="4"/>
    <s v="Married"/>
    <x v="252"/>
    <n v="23231"/>
    <n v="1"/>
    <s v="Y"/>
    <x v="1"/>
    <n v="11"/>
    <n v="3"/>
    <n v="2"/>
    <x v="0"/>
    <n v="0"/>
    <n v="1"/>
    <n v="0"/>
    <n v="2"/>
    <n v="1"/>
    <n v="0"/>
    <x v="0"/>
    <n v="0"/>
  </r>
  <r>
    <n v="31"/>
    <x v="0"/>
    <x v="1"/>
    <n v="307"/>
    <x v="1"/>
    <n v="29"/>
    <n v="2"/>
    <x v="2"/>
    <n v="1"/>
    <n v="355"/>
    <n v="3"/>
    <x v="1"/>
    <n v="71"/>
    <n v="2"/>
    <x v="1"/>
    <s v="Laboratory Technician"/>
    <n v="2"/>
    <s v="Single"/>
    <x v="253"/>
    <n v="11652"/>
    <n v="0"/>
    <s v="Y"/>
    <x v="1"/>
    <n v="11"/>
    <n v="3"/>
    <n v="2"/>
    <x v="0"/>
    <n v="0"/>
    <n v="6"/>
    <n v="2"/>
    <n v="4"/>
    <n v="5"/>
    <n v="4"/>
    <x v="1"/>
    <n v="4"/>
  </r>
  <r>
    <n v="32"/>
    <x v="1"/>
    <x v="1"/>
    <n v="1311"/>
    <x v="1"/>
    <n v="7"/>
    <n v="3"/>
    <x v="0"/>
    <n v="1"/>
    <n v="359"/>
    <n v="2"/>
    <x v="1"/>
    <n v="100"/>
    <n v="4"/>
    <x v="1"/>
    <s v="Laboratory Technician"/>
    <n v="2"/>
    <s v="Married"/>
    <x v="254"/>
    <n v="26062"/>
    <n v="1"/>
    <s v="Y"/>
    <x v="1"/>
    <n v="20"/>
    <n v="4"/>
    <n v="3"/>
    <x v="0"/>
    <n v="0"/>
    <n v="5"/>
    <n v="3"/>
    <n v="1"/>
    <n v="5"/>
    <n v="1"/>
    <x v="0"/>
    <n v="3"/>
  </r>
  <r>
    <n v="38"/>
    <x v="1"/>
    <x v="2"/>
    <n v="1327"/>
    <x v="0"/>
    <n v="2"/>
    <n v="2"/>
    <x v="0"/>
    <n v="1"/>
    <n v="361"/>
    <n v="4"/>
    <x v="1"/>
    <n v="39"/>
    <n v="2"/>
    <x v="0"/>
    <s v="Sales Executive"/>
    <n v="4"/>
    <s v="Married"/>
    <x v="255"/>
    <n v="19682"/>
    <n v="3"/>
    <s v="Y"/>
    <x v="1"/>
    <n v="18"/>
    <n v="3"/>
    <n v="4"/>
    <x v="0"/>
    <n v="1"/>
    <n v="13"/>
    <n v="0"/>
    <n v="3"/>
    <n v="8"/>
    <n v="7"/>
    <x v="4"/>
    <n v="5"/>
  </r>
  <r>
    <n v="32"/>
    <x v="1"/>
    <x v="0"/>
    <n v="128"/>
    <x v="1"/>
    <n v="2"/>
    <n v="1"/>
    <x v="4"/>
    <n v="1"/>
    <n v="362"/>
    <n v="4"/>
    <x v="1"/>
    <n v="84"/>
    <n v="2"/>
    <x v="0"/>
    <s v="Laboratory Technician"/>
    <n v="1"/>
    <s v="Single"/>
    <x v="256"/>
    <n v="19737"/>
    <n v="4"/>
    <s v="Y"/>
    <x v="1"/>
    <n v="13"/>
    <n v="3"/>
    <n v="4"/>
    <x v="0"/>
    <n v="0"/>
    <n v="9"/>
    <n v="5"/>
    <n v="3"/>
    <n v="6"/>
    <n v="2"/>
    <x v="0"/>
    <n v="4"/>
  </r>
  <r>
    <n v="46"/>
    <x v="1"/>
    <x v="0"/>
    <n v="488"/>
    <x v="0"/>
    <n v="2"/>
    <n v="3"/>
    <x v="4"/>
    <n v="1"/>
    <n v="363"/>
    <n v="3"/>
    <x v="0"/>
    <n v="75"/>
    <n v="1"/>
    <x v="3"/>
    <s v="Manager"/>
    <n v="2"/>
    <s v="Married"/>
    <x v="257"/>
    <n v="14977"/>
    <n v="3"/>
    <s v="Y"/>
    <x v="0"/>
    <n v="12"/>
    <n v="3"/>
    <n v="2"/>
    <x v="0"/>
    <n v="1"/>
    <n v="28"/>
    <n v="2"/>
    <n v="2"/>
    <n v="7"/>
    <n v="7"/>
    <x v="4"/>
    <n v="7"/>
  </r>
  <r>
    <n v="28"/>
    <x v="0"/>
    <x v="0"/>
    <n v="529"/>
    <x v="1"/>
    <n v="2"/>
    <n v="4"/>
    <x v="0"/>
    <n v="1"/>
    <n v="364"/>
    <n v="1"/>
    <x v="1"/>
    <n v="79"/>
    <n v="3"/>
    <x v="1"/>
    <s v="Laboratory Technician"/>
    <n v="3"/>
    <s v="Single"/>
    <x v="258"/>
    <n v="14935"/>
    <n v="2"/>
    <s v="Y"/>
    <x v="1"/>
    <n v="11"/>
    <n v="3"/>
    <n v="3"/>
    <x v="0"/>
    <n v="0"/>
    <n v="5"/>
    <n v="5"/>
    <n v="1"/>
    <n v="0"/>
    <n v="0"/>
    <x v="0"/>
    <n v="0"/>
  </r>
  <r>
    <n v="29"/>
    <x v="1"/>
    <x v="0"/>
    <n v="1210"/>
    <x v="0"/>
    <n v="2"/>
    <n v="3"/>
    <x v="2"/>
    <n v="1"/>
    <n v="366"/>
    <n v="1"/>
    <x v="1"/>
    <n v="78"/>
    <n v="2"/>
    <x v="0"/>
    <s v="Sales Executive"/>
    <n v="2"/>
    <s v="Married"/>
    <x v="259"/>
    <n v="3687"/>
    <n v="2"/>
    <s v="Y"/>
    <x v="1"/>
    <n v="19"/>
    <n v="3"/>
    <n v="2"/>
    <x v="0"/>
    <n v="2"/>
    <n v="10"/>
    <n v="2"/>
    <n v="3"/>
    <n v="0"/>
    <n v="0"/>
    <x v="0"/>
    <n v="0"/>
  </r>
  <r>
    <n v="31"/>
    <x v="1"/>
    <x v="0"/>
    <n v="1463"/>
    <x v="1"/>
    <n v="23"/>
    <n v="3"/>
    <x v="2"/>
    <n v="1"/>
    <n v="367"/>
    <n v="2"/>
    <x v="1"/>
    <n v="64"/>
    <n v="2"/>
    <x v="0"/>
    <s v="Healthcare Representative"/>
    <n v="4"/>
    <s v="Married"/>
    <x v="260"/>
    <n v="14408"/>
    <n v="0"/>
    <s v="Y"/>
    <x v="1"/>
    <n v="21"/>
    <n v="4"/>
    <n v="2"/>
    <x v="0"/>
    <n v="1"/>
    <n v="10"/>
    <n v="2"/>
    <n v="3"/>
    <n v="9"/>
    <n v="0"/>
    <x v="4"/>
    <n v="8"/>
  </r>
  <r>
    <n v="25"/>
    <x v="1"/>
    <x v="2"/>
    <n v="675"/>
    <x v="1"/>
    <n v="5"/>
    <n v="2"/>
    <x v="0"/>
    <n v="1"/>
    <n v="369"/>
    <n v="2"/>
    <x v="1"/>
    <n v="85"/>
    <n v="4"/>
    <x v="0"/>
    <s v="Healthcare Representative"/>
    <n v="1"/>
    <s v="Divorced"/>
    <x v="261"/>
    <n v="18384"/>
    <n v="1"/>
    <s v="Y"/>
    <x v="1"/>
    <n v="12"/>
    <n v="3"/>
    <n v="4"/>
    <x v="0"/>
    <n v="2"/>
    <n v="6"/>
    <n v="2"/>
    <n v="3"/>
    <n v="6"/>
    <n v="3"/>
    <x v="1"/>
    <n v="5"/>
  </r>
  <r>
    <n v="45"/>
    <x v="1"/>
    <x v="0"/>
    <n v="1385"/>
    <x v="1"/>
    <n v="20"/>
    <n v="2"/>
    <x v="2"/>
    <n v="1"/>
    <n v="372"/>
    <n v="3"/>
    <x v="1"/>
    <n v="79"/>
    <n v="3"/>
    <x v="3"/>
    <s v="Healthcare Representative"/>
    <n v="4"/>
    <s v="Married"/>
    <x v="262"/>
    <n v="7501"/>
    <n v="0"/>
    <s v="Y"/>
    <x v="0"/>
    <n v="14"/>
    <n v="3"/>
    <n v="2"/>
    <x v="0"/>
    <n v="0"/>
    <n v="21"/>
    <n v="2"/>
    <n v="3"/>
    <n v="20"/>
    <n v="7"/>
    <x v="5"/>
    <n v="10"/>
  </r>
  <r>
    <n v="36"/>
    <x v="1"/>
    <x v="0"/>
    <n v="1403"/>
    <x v="1"/>
    <n v="6"/>
    <n v="3"/>
    <x v="0"/>
    <n v="1"/>
    <n v="373"/>
    <n v="4"/>
    <x v="1"/>
    <n v="47"/>
    <n v="3"/>
    <x v="1"/>
    <s v="Laboratory Technician"/>
    <n v="4"/>
    <s v="Married"/>
    <x v="263"/>
    <n v="20251"/>
    <n v="0"/>
    <s v="Y"/>
    <x v="1"/>
    <n v="11"/>
    <n v="3"/>
    <n v="3"/>
    <x v="0"/>
    <n v="1"/>
    <n v="16"/>
    <n v="4"/>
    <n v="3"/>
    <n v="15"/>
    <n v="13"/>
    <x v="13"/>
    <n v="11"/>
  </r>
  <r>
    <n v="55"/>
    <x v="1"/>
    <x v="0"/>
    <n v="452"/>
    <x v="1"/>
    <n v="1"/>
    <n v="3"/>
    <x v="2"/>
    <n v="1"/>
    <n v="374"/>
    <n v="4"/>
    <x v="1"/>
    <n v="81"/>
    <n v="3"/>
    <x v="4"/>
    <s v="Manager"/>
    <n v="1"/>
    <s v="Single"/>
    <x v="264"/>
    <n v="18938"/>
    <n v="0"/>
    <s v="Y"/>
    <x v="0"/>
    <n v="14"/>
    <n v="3"/>
    <n v="3"/>
    <x v="0"/>
    <n v="0"/>
    <n v="37"/>
    <n v="2"/>
    <n v="3"/>
    <n v="36"/>
    <n v="10"/>
    <x v="5"/>
    <n v="13"/>
  </r>
  <r>
    <n v="47"/>
    <x v="0"/>
    <x v="2"/>
    <n v="666"/>
    <x v="1"/>
    <n v="29"/>
    <n v="4"/>
    <x v="0"/>
    <n v="1"/>
    <n v="376"/>
    <n v="1"/>
    <x v="1"/>
    <n v="88"/>
    <n v="3"/>
    <x v="2"/>
    <s v="Manager"/>
    <n v="2"/>
    <s v="Married"/>
    <x v="265"/>
    <n v="10268"/>
    <n v="1"/>
    <s v="Y"/>
    <x v="0"/>
    <n v="12"/>
    <n v="3"/>
    <n v="4"/>
    <x v="0"/>
    <n v="1"/>
    <n v="10"/>
    <n v="2"/>
    <n v="2"/>
    <n v="10"/>
    <n v="7"/>
    <x v="10"/>
    <n v="9"/>
  </r>
  <r>
    <n v="28"/>
    <x v="1"/>
    <x v="0"/>
    <n v="1158"/>
    <x v="1"/>
    <n v="9"/>
    <n v="3"/>
    <x v="2"/>
    <n v="1"/>
    <n v="377"/>
    <n v="4"/>
    <x v="1"/>
    <n v="94"/>
    <n v="3"/>
    <x v="1"/>
    <s v="Research Scientist"/>
    <n v="4"/>
    <s v="Married"/>
    <x v="266"/>
    <n v="2613"/>
    <n v="1"/>
    <s v="Y"/>
    <x v="1"/>
    <n v="23"/>
    <n v="4"/>
    <n v="4"/>
    <x v="0"/>
    <n v="1"/>
    <n v="5"/>
    <n v="3"/>
    <n v="2"/>
    <n v="5"/>
    <n v="2"/>
    <x v="0"/>
    <n v="4"/>
  </r>
  <r>
    <n v="37"/>
    <x v="1"/>
    <x v="0"/>
    <n v="228"/>
    <x v="0"/>
    <n v="6"/>
    <n v="4"/>
    <x v="2"/>
    <n v="1"/>
    <n v="378"/>
    <n v="3"/>
    <x v="1"/>
    <n v="98"/>
    <n v="3"/>
    <x v="0"/>
    <s v="Sales Executive"/>
    <n v="4"/>
    <s v="Married"/>
    <x v="267"/>
    <n v="22825"/>
    <n v="4"/>
    <s v="Y"/>
    <x v="1"/>
    <n v="14"/>
    <n v="3"/>
    <n v="2"/>
    <x v="0"/>
    <n v="1"/>
    <n v="7"/>
    <n v="5"/>
    <n v="4"/>
    <n v="5"/>
    <n v="4"/>
    <x v="0"/>
    <n v="1"/>
  </r>
  <r>
    <n v="21"/>
    <x v="1"/>
    <x v="0"/>
    <n v="996"/>
    <x v="1"/>
    <n v="3"/>
    <n v="2"/>
    <x v="2"/>
    <n v="1"/>
    <n v="379"/>
    <n v="4"/>
    <x v="1"/>
    <n v="100"/>
    <n v="2"/>
    <x v="1"/>
    <s v="Research Scientist"/>
    <n v="3"/>
    <s v="Single"/>
    <x v="268"/>
    <n v="10531"/>
    <n v="1"/>
    <s v="Y"/>
    <x v="1"/>
    <n v="17"/>
    <n v="3"/>
    <n v="1"/>
    <x v="0"/>
    <n v="0"/>
    <n v="3"/>
    <n v="4"/>
    <n v="4"/>
    <n v="3"/>
    <n v="2"/>
    <x v="1"/>
    <n v="0"/>
  </r>
  <r>
    <n v="37"/>
    <x v="1"/>
    <x v="2"/>
    <n v="728"/>
    <x v="1"/>
    <n v="1"/>
    <n v="4"/>
    <x v="2"/>
    <n v="1"/>
    <n v="380"/>
    <n v="1"/>
    <x v="0"/>
    <n v="80"/>
    <n v="3"/>
    <x v="2"/>
    <s v="Research Director"/>
    <n v="4"/>
    <s v="Divorced"/>
    <x v="269"/>
    <n v="11677"/>
    <n v="2"/>
    <s v="Y"/>
    <x v="0"/>
    <n v="18"/>
    <n v="3"/>
    <n v="1"/>
    <x v="0"/>
    <n v="2"/>
    <n v="15"/>
    <n v="2"/>
    <n v="3"/>
    <n v="5"/>
    <n v="2"/>
    <x v="0"/>
    <n v="2"/>
  </r>
  <r>
    <n v="35"/>
    <x v="1"/>
    <x v="0"/>
    <n v="1315"/>
    <x v="1"/>
    <n v="22"/>
    <n v="3"/>
    <x v="0"/>
    <n v="1"/>
    <n v="381"/>
    <n v="2"/>
    <x v="0"/>
    <n v="71"/>
    <n v="4"/>
    <x v="2"/>
    <s v="Manager"/>
    <n v="2"/>
    <s v="Divorced"/>
    <x v="270"/>
    <n v="19100"/>
    <n v="7"/>
    <s v="Y"/>
    <x v="1"/>
    <n v="18"/>
    <n v="3"/>
    <n v="2"/>
    <x v="0"/>
    <n v="1"/>
    <n v="10"/>
    <n v="6"/>
    <n v="2"/>
    <n v="7"/>
    <n v="7"/>
    <x v="7"/>
    <n v="2"/>
  </r>
  <r>
    <n v="38"/>
    <x v="1"/>
    <x v="0"/>
    <n v="322"/>
    <x v="0"/>
    <n v="7"/>
    <n v="2"/>
    <x v="2"/>
    <n v="1"/>
    <n v="382"/>
    <n v="1"/>
    <x v="0"/>
    <n v="44"/>
    <n v="4"/>
    <x v="0"/>
    <s v="Sales Executive"/>
    <n v="1"/>
    <s v="Divorced"/>
    <x v="147"/>
    <n v="19191"/>
    <n v="1"/>
    <s v="Y"/>
    <x v="0"/>
    <n v="24"/>
    <n v="4"/>
    <n v="3"/>
    <x v="0"/>
    <n v="1"/>
    <n v="8"/>
    <n v="3"/>
    <n v="3"/>
    <n v="8"/>
    <n v="0"/>
    <x v="4"/>
    <n v="7"/>
  </r>
  <r>
    <n v="26"/>
    <x v="1"/>
    <x v="1"/>
    <n v="1479"/>
    <x v="1"/>
    <n v="1"/>
    <n v="3"/>
    <x v="0"/>
    <n v="1"/>
    <n v="384"/>
    <n v="3"/>
    <x v="0"/>
    <n v="84"/>
    <n v="3"/>
    <x v="0"/>
    <s v="Manufacturing Director"/>
    <n v="2"/>
    <s v="Divorced"/>
    <x v="271"/>
    <n v="26767"/>
    <n v="1"/>
    <s v="Y"/>
    <x v="1"/>
    <n v="20"/>
    <n v="4"/>
    <n v="1"/>
    <x v="0"/>
    <n v="1"/>
    <n v="6"/>
    <n v="6"/>
    <n v="1"/>
    <n v="6"/>
    <n v="5"/>
    <x v="1"/>
    <n v="4"/>
  </r>
  <r>
    <n v="50"/>
    <x v="1"/>
    <x v="0"/>
    <n v="797"/>
    <x v="1"/>
    <n v="4"/>
    <n v="1"/>
    <x v="0"/>
    <n v="1"/>
    <n v="385"/>
    <n v="1"/>
    <x v="1"/>
    <n v="96"/>
    <n v="3"/>
    <x v="4"/>
    <s v="Research Director"/>
    <n v="2"/>
    <s v="Divorced"/>
    <x v="272"/>
    <n v="15815"/>
    <n v="3"/>
    <s v="Y"/>
    <x v="1"/>
    <n v="14"/>
    <n v="3"/>
    <n v="1"/>
    <x v="0"/>
    <n v="2"/>
    <n v="28"/>
    <n v="4"/>
    <n v="2"/>
    <n v="10"/>
    <n v="4"/>
    <x v="1"/>
    <n v="6"/>
  </r>
  <r>
    <n v="53"/>
    <x v="1"/>
    <x v="0"/>
    <n v="1070"/>
    <x v="1"/>
    <n v="3"/>
    <n v="4"/>
    <x v="2"/>
    <n v="1"/>
    <n v="386"/>
    <n v="3"/>
    <x v="1"/>
    <n v="45"/>
    <n v="3"/>
    <x v="3"/>
    <s v="Research Director"/>
    <n v="3"/>
    <s v="Married"/>
    <x v="273"/>
    <n v="21016"/>
    <n v="3"/>
    <s v="Y"/>
    <x v="0"/>
    <n v="16"/>
    <n v="3"/>
    <n v="4"/>
    <x v="0"/>
    <n v="3"/>
    <n v="21"/>
    <n v="5"/>
    <n v="2"/>
    <n v="5"/>
    <n v="3"/>
    <x v="1"/>
    <n v="3"/>
  </r>
  <r>
    <n v="42"/>
    <x v="1"/>
    <x v="0"/>
    <n v="635"/>
    <x v="0"/>
    <n v="1"/>
    <n v="1"/>
    <x v="0"/>
    <n v="1"/>
    <n v="387"/>
    <n v="2"/>
    <x v="1"/>
    <n v="99"/>
    <n v="3"/>
    <x v="0"/>
    <s v="Sales Executive"/>
    <n v="3"/>
    <s v="Married"/>
    <x v="274"/>
    <n v="24532"/>
    <n v="1"/>
    <s v="Y"/>
    <x v="1"/>
    <n v="25"/>
    <n v="4"/>
    <n v="3"/>
    <x v="0"/>
    <n v="0"/>
    <n v="20"/>
    <n v="3"/>
    <n v="3"/>
    <n v="20"/>
    <n v="16"/>
    <x v="14"/>
    <n v="6"/>
  </r>
  <r>
    <n v="29"/>
    <x v="1"/>
    <x v="1"/>
    <n v="442"/>
    <x v="0"/>
    <n v="2"/>
    <n v="2"/>
    <x v="0"/>
    <n v="1"/>
    <n v="388"/>
    <n v="2"/>
    <x v="1"/>
    <n v="44"/>
    <n v="3"/>
    <x v="0"/>
    <s v="Sales Executive"/>
    <n v="4"/>
    <s v="Single"/>
    <x v="275"/>
    <n v="20260"/>
    <n v="1"/>
    <s v="Y"/>
    <x v="1"/>
    <n v="18"/>
    <n v="3"/>
    <n v="1"/>
    <x v="0"/>
    <n v="0"/>
    <n v="10"/>
    <n v="3"/>
    <n v="2"/>
    <n v="10"/>
    <n v="7"/>
    <x v="0"/>
    <n v="9"/>
  </r>
  <r>
    <n v="55"/>
    <x v="1"/>
    <x v="0"/>
    <n v="147"/>
    <x v="1"/>
    <n v="20"/>
    <n v="2"/>
    <x v="4"/>
    <n v="1"/>
    <n v="389"/>
    <n v="2"/>
    <x v="1"/>
    <n v="37"/>
    <n v="3"/>
    <x v="0"/>
    <s v="Laboratory Technician"/>
    <n v="4"/>
    <s v="Married"/>
    <x v="276"/>
    <n v="15972"/>
    <n v="3"/>
    <s v="Y"/>
    <x v="0"/>
    <n v="19"/>
    <n v="3"/>
    <n v="4"/>
    <x v="0"/>
    <n v="1"/>
    <n v="12"/>
    <n v="4"/>
    <n v="3"/>
    <n v="10"/>
    <n v="7"/>
    <x v="0"/>
    <n v="8"/>
  </r>
  <r>
    <n v="26"/>
    <x v="1"/>
    <x v="1"/>
    <n v="496"/>
    <x v="1"/>
    <n v="11"/>
    <n v="2"/>
    <x v="2"/>
    <n v="1"/>
    <n v="390"/>
    <n v="1"/>
    <x v="1"/>
    <n v="60"/>
    <n v="3"/>
    <x v="0"/>
    <s v="Healthcare Representative"/>
    <n v="1"/>
    <s v="Married"/>
    <x v="277"/>
    <n v="22722"/>
    <n v="1"/>
    <s v="Y"/>
    <x v="0"/>
    <n v="13"/>
    <n v="3"/>
    <n v="3"/>
    <x v="0"/>
    <n v="1"/>
    <n v="5"/>
    <n v="3"/>
    <n v="3"/>
    <n v="5"/>
    <n v="3"/>
    <x v="2"/>
    <n v="3"/>
  </r>
  <r>
    <n v="37"/>
    <x v="1"/>
    <x v="0"/>
    <n v="1372"/>
    <x v="1"/>
    <n v="1"/>
    <n v="3"/>
    <x v="0"/>
    <n v="1"/>
    <n v="391"/>
    <n v="4"/>
    <x v="0"/>
    <n v="42"/>
    <n v="3"/>
    <x v="1"/>
    <s v="Research Scientist"/>
    <n v="4"/>
    <s v="Single"/>
    <x v="278"/>
    <n v="15881"/>
    <n v="1"/>
    <s v="Y"/>
    <x v="1"/>
    <n v="12"/>
    <n v="3"/>
    <n v="2"/>
    <x v="0"/>
    <n v="0"/>
    <n v="17"/>
    <n v="3"/>
    <n v="3"/>
    <n v="17"/>
    <n v="12"/>
    <x v="8"/>
    <n v="7"/>
  </r>
  <r>
    <n v="44"/>
    <x v="0"/>
    <x v="1"/>
    <n v="920"/>
    <x v="1"/>
    <n v="24"/>
    <n v="3"/>
    <x v="0"/>
    <n v="1"/>
    <n v="392"/>
    <n v="4"/>
    <x v="1"/>
    <n v="43"/>
    <n v="3"/>
    <x v="1"/>
    <s v="Laboratory Technician"/>
    <n v="3"/>
    <s v="Divorced"/>
    <x v="279"/>
    <n v="19920"/>
    <n v="3"/>
    <s v="Y"/>
    <x v="0"/>
    <n v="22"/>
    <n v="4"/>
    <n v="4"/>
    <x v="0"/>
    <n v="1"/>
    <n v="19"/>
    <n v="0"/>
    <n v="1"/>
    <n v="1"/>
    <n v="0"/>
    <x v="0"/>
    <n v="0"/>
  </r>
  <r>
    <n v="38"/>
    <x v="1"/>
    <x v="0"/>
    <n v="688"/>
    <x v="1"/>
    <n v="23"/>
    <n v="4"/>
    <x v="0"/>
    <n v="1"/>
    <n v="393"/>
    <n v="4"/>
    <x v="1"/>
    <n v="82"/>
    <n v="3"/>
    <x v="0"/>
    <s v="Healthcare Representative"/>
    <n v="4"/>
    <s v="Divorced"/>
    <x v="280"/>
    <n v="18899"/>
    <n v="9"/>
    <s v="Y"/>
    <x v="1"/>
    <n v="14"/>
    <n v="3"/>
    <n v="2"/>
    <x v="0"/>
    <n v="1"/>
    <n v="10"/>
    <n v="2"/>
    <n v="3"/>
    <n v="2"/>
    <n v="2"/>
    <x v="1"/>
    <n v="2"/>
  </r>
  <r>
    <n v="26"/>
    <x v="0"/>
    <x v="0"/>
    <n v="1449"/>
    <x v="1"/>
    <n v="16"/>
    <n v="4"/>
    <x v="2"/>
    <n v="1"/>
    <n v="394"/>
    <n v="1"/>
    <x v="1"/>
    <n v="45"/>
    <n v="3"/>
    <x v="1"/>
    <s v="Laboratory Technician"/>
    <n v="2"/>
    <s v="Divorced"/>
    <x v="281"/>
    <n v="14180"/>
    <n v="2"/>
    <s v="Y"/>
    <x v="0"/>
    <n v="13"/>
    <n v="3"/>
    <n v="4"/>
    <x v="0"/>
    <n v="1"/>
    <n v="5"/>
    <n v="2"/>
    <n v="3"/>
    <n v="3"/>
    <n v="2"/>
    <x v="0"/>
    <n v="2"/>
  </r>
  <r>
    <n v="28"/>
    <x v="1"/>
    <x v="0"/>
    <n v="1117"/>
    <x v="1"/>
    <n v="8"/>
    <n v="2"/>
    <x v="0"/>
    <n v="1"/>
    <n v="395"/>
    <n v="4"/>
    <x v="0"/>
    <n v="66"/>
    <n v="3"/>
    <x v="1"/>
    <s v="Research Scientist"/>
    <n v="4"/>
    <s v="Single"/>
    <x v="282"/>
    <n v="4488"/>
    <n v="1"/>
    <s v="Y"/>
    <x v="1"/>
    <n v="21"/>
    <n v="4"/>
    <n v="4"/>
    <x v="0"/>
    <n v="0"/>
    <n v="5"/>
    <n v="3"/>
    <n v="3"/>
    <n v="5"/>
    <n v="3"/>
    <x v="0"/>
    <n v="2"/>
  </r>
  <r>
    <n v="49"/>
    <x v="1"/>
    <x v="1"/>
    <n v="636"/>
    <x v="1"/>
    <n v="10"/>
    <n v="4"/>
    <x v="0"/>
    <n v="1"/>
    <n v="396"/>
    <n v="3"/>
    <x v="0"/>
    <n v="35"/>
    <n v="3"/>
    <x v="4"/>
    <s v="Research Director"/>
    <n v="1"/>
    <s v="Single"/>
    <x v="283"/>
    <n v="25594"/>
    <n v="9"/>
    <s v="Y"/>
    <x v="0"/>
    <n v="11"/>
    <n v="3"/>
    <n v="4"/>
    <x v="0"/>
    <n v="0"/>
    <n v="22"/>
    <n v="4"/>
    <n v="3"/>
    <n v="3"/>
    <n v="2"/>
    <x v="1"/>
    <n v="2"/>
  </r>
  <r>
    <n v="36"/>
    <x v="1"/>
    <x v="0"/>
    <n v="506"/>
    <x v="1"/>
    <n v="3"/>
    <n v="3"/>
    <x v="4"/>
    <n v="1"/>
    <n v="397"/>
    <n v="3"/>
    <x v="1"/>
    <n v="30"/>
    <n v="3"/>
    <x v="0"/>
    <s v="Research Scientist"/>
    <n v="2"/>
    <s v="Single"/>
    <x v="284"/>
    <n v="26285"/>
    <n v="4"/>
    <s v="Y"/>
    <x v="1"/>
    <n v="12"/>
    <n v="3"/>
    <n v="4"/>
    <x v="0"/>
    <n v="0"/>
    <n v="10"/>
    <n v="2"/>
    <n v="3"/>
    <n v="8"/>
    <n v="0"/>
    <x v="4"/>
    <n v="7"/>
  </r>
  <r>
    <n v="31"/>
    <x v="1"/>
    <x v="1"/>
    <n v="444"/>
    <x v="0"/>
    <n v="5"/>
    <n v="3"/>
    <x v="3"/>
    <n v="1"/>
    <n v="399"/>
    <n v="4"/>
    <x v="0"/>
    <n v="84"/>
    <n v="3"/>
    <x v="1"/>
    <s v="Sales Representative"/>
    <n v="2"/>
    <s v="Divorced"/>
    <x v="285"/>
    <n v="3909"/>
    <n v="1"/>
    <s v="Y"/>
    <x v="1"/>
    <n v="11"/>
    <n v="3"/>
    <n v="3"/>
    <x v="0"/>
    <n v="1"/>
    <n v="2"/>
    <n v="5"/>
    <n v="2"/>
    <n v="2"/>
    <n v="2"/>
    <x v="3"/>
    <n v="2"/>
  </r>
  <r>
    <n v="26"/>
    <x v="0"/>
    <x v="0"/>
    <n v="950"/>
    <x v="0"/>
    <n v="4"/>
    <n v="4"/>
    <x v="3"/>
    <n v="1"/>
    <n v="401"/>
    <n v="4"/>
    <x v="1"/>
    <n v="48"/>
    <n v="2"/>
    <x v="0"/>
    <s v="Sales Executive"/>
    <n v="4"/>
    <s v="Single"/>
    <x v="286"/>
    <n v="8450"/>
    <n v="1"/>
    <s v="Y"/>
    <x v="0"/>
    <n v="12"/>
    <n v="3"/>
    <n v="2"/>
    <x v="0"/>
    <n v="0"/>
    <n v="8"/>
    <n v="0"/>
    <n v="3"/>
    <n v="8"/>
    <n v="7"/>
    <x v="4"/>
    <n v="4"/>
  </r>
  <r>
    <n v="37"/>
    <x v="1"/>
    <x v="1"/>
    <n v="889"/>
    <x v="1"/>
    <n v="9"/>
    <n v="3"/>
    <x v="2"/>
    <n v="1"/>
    <n v="403"/>
    <n v="2"/>
    <x v="1"/>
    <n v="53"/>
    <n v="3"/>
    <x v="1"/>
    <s v="Research Scientist"/>
    <n v="4"/>
    <s v="Married"/>
    <x v="287"/>
    <n v="11411"/>
    <n v="1"/>
    <s v="Y"/>
    <x v="0"/>
    <n v="12"/>
    <n v="3"/>
    <n v="3"/>
    <x v="0"/>
    <n v="3"/>
    <n v="4"/>
    <n v="3"/>
    <n v="2"/>
    <n v="4"/>
    <n v="2"/>
    <x v="1"/>
    <n v="2"/>
  </r>
  <r>
    <n v="42"/>
    <x v="1"/>
    <x v="1"/>
    <n v="555"/>
    <x v="0"/>
    <n v="26"/>
    <n v="3"/>
    <x v="3"/>
    <n v="1"/>
    <n v="404"/>
    <n v="3"/>
    <x v="0"/>
    <n v="77"/>
    <n v="3"/>
    <x v="3"/>
    <s v="Sales Executive"/>
    <n v="2"/>
    <s v="Married"/>
    <x v="288"/>
    <n v="14864"/>
    <n v="5"/>
    <s v="Y"/>
    <x v="1"/>
    <n v="14"/>
    <n v="3"/>
    <n v="4"/>
    <x v="0"/>
    <n v="1"/>
    <n v="23"/>
    <n v="2"/>
    <n v="4"/>
    <n v="20"/>
    <n v="4"/>
    <x v="5"/>
    <n v="8"/>
  </r>
  <r>
    <n v="18"/>
    <x v="0"/>
    <x v="0"/>
    <n v="230"/>
    <x v="1"/>
    <n v="3"/>
    <n v="3"/>
    <x v="0"/>
    <n v="1"/>
    <n v="405"/>
    <n v="3"/>
    <x v="1"/>
    <n v="54"/>
    <n v="3"/>
    <x v="1"/>
    <s v="Laboratory Technician"/>
    <n v="3"/>
    <s v="Single"/>
    <x v="289"/>
    <n v="25233"/>
    <n v="1"/>
    <s v="Y"/>
    <x v="1"/>
    <n v="13"/>
    <n v="3"/>
    <n v="3"/>
    <x v="0"/>
    <n v="0"/>
    <n v="0"/>
    <n v="2"/>
    <n v="3"/>
    <n v="0"/>
    <n v="0"/>
    <x v="0"/>
    <n v="0"/>
  </r>
  <r>
    <n v="35"/>
    <x v="1"/>
    <x v="0"/>
    <n v="1232"/>
    <x v="0"/>
    <n v="16"/>
    <n v="3"/>
    <x v="3"/>
    <n v="1"/>
    <n v="406"/>
    <n v="3"/>
    <x v="1"/>
    <n v="96"/>
    <n v="3"/>
    <x v="2"/>
    <s v="Sales Executive"/>
    <n v="2"/>
    <s v="Married"/>
    <x v="290"/>
    <n v="5100"/>
    <n v="0"/>
    <s v="Y"/>
    <x v="1"/>
    <n v="15"/>
    <n v="3"/>
    <n v="3"/>
    <x v="0"/>
    <n v="2"/>
    <n v="12"/>
    <n v="3"/>
    <n v="2"/>
    <n v="11"/>
    <n v="9"/>
    <x v="7"/>
    <n v="9"/>
  </r>
  <r>
    <n v="36"/>
    <x v="1"/>
    <x v="1"/>
    <n v="566"/>
    <x v="1"/>
    <n v="18"/>
    <n v="4"/>
    <x v="0"/>
    <n v="1"/>
    <n v="407"/>
    <n v="3"/>
    <x v="1"/>
    <n v="81"/>
    <n v="4"/>
    <x v="1"/>
    <s v="Laboratory Technician"/>
    <n v="4"/>
    <s v="Married"/>
    <x v="291"/>
    <n v="7122"/>
    <n v="4"/>
    <s v="Y"/>
    <x v="1"/>
    <n v="18"/>
    <n v="3"/>
    <n v="4"/>
    <x v="0"/>
    <n v="2"/>
    <n v="4"/>
    <n v="2"/>
    <n v="3"/>
    <n v="1"/>
    <n v="0"/>
    <x v="0"/>
    <n v="0"/>
  </r>
  <r>
    <n v="51"/>
    <x v="1"/>
    <x v="0"/>
    <n v="1302"/>
    <x v="1"/>
    <n v="2"/>
    <n v="3"/>
    <x v="2"/>
    <n v="1"/>
    <n v="408"/>
    <n v="4"/>
    <x v="1"/>
    <n v="84"/>
    <n v="1"/>
    <x v="0"/>
    <s v="Manufacturing Director"/>
    <n v="2"/>
    <s v="Divorced"/>
    <x v="292"/>
    <n v="16321"/>
    <n v="5"/>
    <s v="Y"/>
    <x v="1"/>
    <n v="18"/>
    <n v="3"/>
    <n v="4"/>
    <x v="0"/>
    <n v="1"/>
    <n v="13"/>
    <n v="3"/>
    <n v="3"/>
    <n v="4"/>
    <n v="1"/>
    <x v="1"/>
    <n v="2"/>
  </r>
  <r>
    <n v="41"/>
    <x v="1"/>
    <x v="0"/>
    <n v="334"/>
    <x v="0"/>
    <n v="2"/>
    <n v="4"/>
    <x v="0"/>
    <n v="1"/>
    <n v="410"/>
    <n v="4"/>
    <x v="1"/>
    <n v="88"/>
    <n v="3"/>
    <x v="3"/>
    <s v="Manager"/>
    <n v="2"/>
    <s v="Single"/>
    <x v="293"/>
    <n v="15896"/>
    <n v="1"/>
    <s v="Y"/>
    <x v="1"/>
    <n v="19"/>
    <n v="3"/>
    <n v="2"/>
    <x v="0"/>
    <n v="0"/>
    <n v="22"/>
    <n v="2"/>
    <n v="3"/>
    <n v="22"/>
    <n v="10"/>
    <x v="0"/>
    <n v="4"/>
  </r>
  <r>
    <n v="18"/>
    <x v="1"/>
    <x v="0"/>
    <n v="812"/>
    <x v="0"/>
    <n v="10"/>
    <n v="3"/>
    <x v="2"/>
    <n v="1"/>
    <n v="411"/>
    <n v="4"/>
    <x v="0"/>
    <n v="69"/>
    <n v="2"/>
    <x v="1"/>
    <s v="Sales Representative"/>
    <n v="3"/>
    <s v="Single"/>
    <x v="294"/>
    <n v="9724"/>
    <n v="1"/>
    <s v="Y"/>
    <x v="1"/>
    <n v="12"/>
    <n v="3"/>
    <n v="1"/>
    <x v="0"/>
    <n v="0"/>
    <n v="0"/>
    <n v="2"/>
    <n v="3"/>
    <n v="0"/>
    <n v="0"/>
    <x v="0"/>
    <n v="0"/>
  </r>
  <r>
    <n v="28"/>
    <x v="1"/>
    <x v="0"/>
    <n v="1476"/>
    <x v="1"/>
    <n v="16"/>
    <n v="2"/>
    <x v="2"/>
    <n v="1"/>
    <n v="412"/>
    <n v="2"/>
    <x v="1"/>
    <n v="68"/>
    <n v="4"/>
    <x v="0"/>
    <s v="Healthcare Representative"/>
    <n v="1"/>
    <s v="Single"/>
    <x v="295"/>
    <n v="4824"/>
    <n v="0"/>
    <s v="Y"/>
    <x v="1"/>
    <n v="19"/>
    <n v="3"/>
    <n v="3"/>
    <x v="0"/>
    <n v="0"/>
    <n v="9"/>
    <n v="2"/>
    <n v="3"/>
    <n v="8"/>
    <n v="3"/>
    <x v="0"/>
    <n v="7"/>
  </r>
  <r>
    <n v="31"/>
    <x v="1"/>
    <x v="0"/>
    <n v="218"/>
    <x v="0"/>
    <n v="7"/>
    <n v="3"/>
    <x v="4"/>
    <n v="1"/>
    <n v="416"/>
    <n v="2"/>
    <x v="1"/>
    <n v="100"/>
    <n v="4"/>
    <x v="0"/>
    <s v="Sales Executive"/>
    <n v="4"/>
    <s v="Married"/>
    <x v="296"/>
    <n v="12241"/>
    <n v="4"/>
    <s v="Y"/>
    <x v="1"/>
    <n v="11"/>
    <n v="3"/>
    <n v="2"/>
    <x v="0"/>
    <n v="1"/>
    <n v="10"/>
    <n v="3"/>
    <n v="2"/>
    <n v="8"/>
    <n v="7"/>
    <x v="4"/>
    <n v="7"/>
  </r>
  <r>
    <n v="39"/>
    <x v="1"/>
    <x v="0"/>
    <n v="1132"/>
    <x v="1"/>
    <n v="1"/>
    <n v="3"/>
    <x v="2"/>
    <n v="1"/>
    <n v="417"/>
    <n v="3"/>
    <x v="1"/>
    <n v="48"/>
    <n v="4"/>
    <x v="2"/>
    <s v="Healthcare Representative"/>
    <n v="4"/>
    <s v="Divorced"/>
    <x v="297"/>
    <n v="10942"/>
    <n v="0"/>
    <s v="Y"/>
    <x v="1"/>
    <n v="17"/>
    <n v="3"/>
    <n v="1"/>
    <x v="0"/>
    <n v="3"/>
    <n v="19"/>
    <n v="5"/>
    <n v="2"/>
    <n v="18"/>
    <n v="10"/>
    <x v="2"/>
    <n v="7"/>
  </r>
  <r>
    <n v="36"/>
    <x v="1"/>
    <x v="2"/>
    <n v="1105"/>
    <x v="1"/>
    <n v="24"/>
    <n v="4"/>
    <x v="0"/>
    <n v="1"/>
    <n v="419"/>
    <n v="2"/>
    <x v="0"/>
    <n v="47"/>
    <n v="3"/>
    <x v="0"/>
    <s v="Laboratory Technician"/>
    <n v="2"/>
    <s v="Married"/>
    <x v="298"/>
    <n v="6927"/>
    <n v="7"/>
    <s v="Y"/>
    <x v="1"/>
    <n v="15"/>
    <n v="3"/>
    <n v="3"/>
    <x v="0"/>
    <n v="1"/>
    <n v="11"/>
    <n v="3"/>
    <n v="3"/>
    <n v="9"/>
    <n v="8"/>
    <x v="0"/>
    <n v="8"/>
  </r>
  <r>
    <n v="32"/>
    <x v="1"/>
    <x v="0"/>
    <n v="906"/>
    <x v="0"/>
    <n v="7"/>
    <n v="3"/>
    <x v="0"/>
    <n v="1"/>
    <n v="420"/>
    <n v="4"/>
    <x v="1"/>
    <n v="91"/>
    <n v="2"/>
    <x v="0"/>
    <s v="Sales Executive"/>
    <n v="3"/>
    <s v="Married"/>
    <x v="299"/>
    <n v="16985"/>
    <n v="1"/>
    <s v="Y"/>
    <x v="1"/>
    <n v="14"/>
    <n v="3"/>
    <n v="3"/>
    <x v="0"/>
    <n v="1"/>
    <n v="13"/>
    <n v="3"/>
    <n v="2"/>
    <n v="13"/>
    <n v="8"/>
    <x v="5"/>
    <n v="8"/>
  </r>
  <r>
    <n v="38"/>
    <x v="1"/>
    <x v="0"/>
    <n v="849"/>
    <x v="1"/>
    <n v="25"/>
    <n v="2"/>
    <x v="0"/>
    <n v="1"/>
    <n v="421"/>
    <n v="1"/>
    <x v="0"/>
    <n v="81"/>
    <n v="2"/>
    <x v="2"/>
    <s v="Research Director"/>
    <n v="2"/>
    <s v="Married"/>
    <x v="300"/>
    <n v="26707"/>
    <n v="3"/>
    <s v="Y"/>
    <x v="1"/>
    <n v="17"/>
    <n v="3"/>
    <n v="3"/>
    <x v="0"/>
    <n v="1"/>
    <n v="19"/>
    <n v="2"/>
    <n v="3"/>
    <n v="10"/>
    <n v="8"/>
    <x v="0"/>
    <n v="1"/>
  </r>
  <r>
    <n v="58"/>
    <x v="1"/>
    <x v="2"/>
    <n v="390"/>
    <x v="1"/>
    <n v="1"/>
    <n v="4"/>
    <x v="0"/>
    <n v="1"/>
    <n v="422"/>
    <n v="4"/>
    <x v="1"/>
    <n v="32"/>
    <n v="1"/>
    <x v="0"/>
    <s v="Healthcare Representative"/>
    <n v="3"/>
    <s v="Divorced"/>
    <x v="301"/>
    <n v="17056"/>
    <n v="2"/>
    <s v="Y"/>
    <x v="0"/>
    <n v="13"/>
    <n v="3"/>
    <n v="4"/>
    <x v="0"/>
    <n v="1"/>
    <n v="12"/>
    <n v="2"/>
    <n v="3"/>
    <n v="5"/>
    <n v="3"/>
    <x v="1"/>
    <n v="2"/>
  </r>
  <r>
    <n v="31"/>
    <x v="1"/>
    <x v="0"/>
    <n v="691"/>
    <x v="1"/>
    <n v="5"/>
    <n v="4"/>
    <x v="4"/>
    <n v="1"/>
    <n v="423"/>
    <n v="3"/>
    <x v="1"/>
    <n v="86"/>
    <n v="3"/>
    <x v="1"/>
    <s v="Research Scientist"/>
    <n v="4"/>
    <s v="Married"/>
    <x v="302"/>
    <n v="10077"/>
    <n v="0"/>
    <s v="Y"/>
    <x v="0"/>
    <n v="12"/>
    <n v="3"/>
    <n v="3"/>
    <x v="0"/>
    <n v="1"/>
    <n v="6"/>
    <n v="4"/>
    <n v="3"/>
    <n v="5"/>
    <n v="2"/>
    <x v="0"/>
    <n v="3"/>
  </r>
  <r>
    <n v="31"/>
    <x v="1"/>
    <x v="0"/>
    <n v="106"/>
    <x v="2"/>
    <n v="2"/>
    <n v="3"/>
    <x v="5"/>
    <n v="1"/>
    <n v="424"/>
    <n v="1"/>
    <x v="1"/>
    <n v="62"/>
    <n v="2"/>
    <x v="0"/>
    <s v="Human Resources"/>
    <n v="1"/>
    <s v="Married"/>
    <x v="303"/>
    <n v="17822"/>
    <n v="3"/>
    <s v="Y"/>
    <x v="1"/>
    <n v="12"/>
    <n v="3"/>
    <n v="4"/>
    <x v="0"/>
    <n v="0"/>
    <n v="9"/>
    <n v="1"/>
    <n v="3"/>
    <n v="2"/>
    <n v="2"/>
    <x v="1"/>
    <n v="0"/>
  </r>
  <r>
    <n v="45"/>
    <x v="1"/>
    <x v="1"/>
    <n v="1249"/>
    <x v="1"/>
    <n v="7"/>
    <n v="3"/>
    <x v="0"/>
    <n v="1"/>
    <n v="425"/>
    <n v="1"/>
    <x v="1"/>
    <n v="97"/>
    <n v="3"/>
    <x v="2"/>
    <s v="Laboratory Technician"/>
    <n v="1"/>
    <s v="Divorced"/>
    <x v="304"/>
    <n v="20308"/>
    <n v="1"/>
    <s v="Y"/>
    <x v="1"/>
    <n v="18"/>
    <n v="3"/>
    <n v="1"/>
    <x v="0"/>
    <n v="1"/>
    <n v="24"/>
    <n v="2"/>
    <n v="3"/>
    <n v="24"/>
    <n v="9"/>
    <x v="10"/>
    <n v="11"/>
  </r>
  <r>
    <n v="31"/>
    <x v="1"/>
    <x v="0"/>
    <n v="192"/>
    <x v="1"/>
    <n v="2"/>
    <n v="4"/>
    <x v="0"/>
    <n v="1"/>
    <n v="426"/>
    <n v="3"/>
    <x v="1"/>
    <n v="32"/>
    <n v="3"/>
    <x v="1"/>
    <s v="Research Scientist"/>
    <n v="4"/>
    <s v="Divorced"/>
    <x v="305"/>
    <n v="7747"/>
    <n v="0"/>
    <s v="Y"/>
    <x v="0"/>
    <n v="18"/>
    <n v="3"/>
    <n v="2"/>
    <x v="0"/>
    <n v="1"/>
    <n v="3"/>
    <n v="2"/>
    <n v="1"/>
    <n v="2"/>
    <n v="2"/>
    <x v="3"/>
    <n v="2"/>
  </r>
  <r>
    <n v="33"/>
    <x v="1"/>
    <x v="1"/>
    <n v="553"/>
    <x v="1"/>
    <n v="5"/>
    <n v="4"/>
    <x v="0"/>
    <n v="1"/>
    <n v="428"/>
    <n v="4"/>
    <x v="0"/>
    <n v="74"/>
    <n v="3"/>
    <x v="2"/>
    <s v="Manager"/>
    <n v="2"/>
    <s v="Married"/>
    <x v="306"/>
    <n v="23364"/>
    <n v="6"/>
    <s v="Y"/>
    <x v="1"/>
    <n v="11"/>
    <n v="3"/>
    <n v="2"/>
    <x v="0"/>
    <n v="2"/>
    <n v="12"/>
    <n v="2"/>
    <n v="3"/>
    <n v="10"/>
    <n v="6"/>
    <x v="6"/>
    <n v="8"/>
  </r>
  <r>
    <n v="39"/>
    <x v="1"/>
    <x v="0"/>
    <n v="117"/>
    <x v="1"/>
    <n v="10"/>
    <n v="1"/>
    <x v="2"/>
    <n v="1"/>
    <n v="429"/>
    <n v="3"/>
    <x v="1"/>
    <n v="99"/>
    <n v="3"/>
    <x v="3"/>
    <s v="Manager"/>
    <n v="1"/>
    <s v="Married"/>
    <x v="307"/>
    <n v="5355"/>
    <n v="1"/>
    <s v="Y"/>
    <x v="0"/>
    <n v="14"/>
    <n v="3"/>
    <n v="4"/>
    <x v="0"/>
    <n v="0"/>
    <n v="21"/>
    <n v="3"/>
    <n v="3"/>
    <n v="21"/>
    <n v="9"/>
    <x v="14"/>
    <n v="10"/>
  </r>
  <r>
    <n v="43"/>
    <x v="1"/>
    <x v="1"/>
    <n v="185"/>
    <x v="1"/>
    <n v="10"/>
    <n v="4"/>
    <x v="0"/>
    <n v="1"/>
    <n v="430"/>
    <n v="3"/>
    <x v="0"/>
    <n v="33"/>
    <n v="3"/>
    <x v="1"/>
    <s v="Laboratory Technician"/>
    <n v="4"/>
    <s v="Single"/>
    <x v="308"/>
    <n v="10675"/>
    <n v="0"/>
    <s v="Y"/>
    <x v="1"/>
    <n v="19"/>
    <n v="3"/>
    <n v="1"/>
    <x v="0"/>
    <n v="0"/>
    <n v="9"/>
    <n v="5"/>
    <n v="3"/>
    <n v="8"/>
    <n v="7"/>
    <x v="1"/>
    <n v="7"/>
  </r>
  <r>
    <n v="49"/>
    <x v="1"/>
    <x v="0"/>
    <n v="1091"/>
    <x v="1"/>
    <n v="1"/>
    <n v="2"/>
    <x v="4"/>
    <n v="1"/>
    <n v="431"/>
    <n v="3"/>
    <x v="0"/>
    <n v="90"/>
    <n v="2"/>
    <x v="3"/>
    <s v="Healthcare Representative"/>
    <n v="3"/>
    <s v="Single"/>
    <x v="309"/>
    <n v="17810"/>
    <n v="7"/>
    <s v="Y"/>
    <x v="0"/>
    <n v="12"/>
    <n v="3"/>
    <n v="4"/>
    <x v="0"/>
    <n v="0"/>
    <n v="25"/>
    <n v="2"/>
    <n v="3"/>
    <n v="7"/>
    <n v="1"/>
    <x v="0"/>
    <n v="7"/>
  </r>
  <r>
    <n v="52"/>
    <x v="0"/>
    <x v="0"/>
    <n v="723"/>
    <x v="1"/>
    <n v="8"/>
    <n v="4"/>
    <x v="2"/>
    <n v="1"/>
    <n v="433"/>
    <n v="3"/>
    <x v="1"/>
    <n v="85"/>
    <n v="2"/>
    <x v="0"/>
    <s v="Research Scientist"/>
    <n v="2"/>
    <s v="Married"/>
    <x v="132"/>
    <n v="17747"/>
    <n v="2"/>
    <s v="Y"/>
    <x v="1"/>
    <n v="15"/>
    <n v="3"/>
    <n v="1"/>
    <x v="0"/>
    <n v="0"/>
    <n v="11"/>
    <n v="3"/>
    <n v="2"/>
    <n v="8"/>
    <n v="2"/>
    <x v="4"/>
    <n v="7"/>
  </r>
  <r>
    <n v="27"/>
    <x v="1"/>
    <x v="0"/>
    <n v="1220"/>
    <x v="1"/>
    <n v="5"/>
    <n v="3"/>
    <x v="0"/>
    <n v="1"/>
    <n v="434"/>
    <n v="3"/>
    <x v="0"/>
    <n v="85"/>
    <n v="3"/>
    <x v="1"/>
    <s v="Research Scientist"/>
    <n v="2"/>
    <s v="Single"/>
    <x v="310"/>
    <n v="20938"/>
    <n v="1"/>
    <s v="Y"/>
    <x v="0"/>
    <n v="12"/>
    <n v="3"/>
    <n v="2"/>
    <x v="0"/>
    <n v="0"/>
    <n v="4"/>
    <n v="2"/>
    <n v="2"/>
    <n v="4"/>
    <n v="3"/>
    <x v="1"/>
    <n v="2"/>
  </r>
  <r>
    <n v="32"/>
    <x v="1"/>
    <x v="0"/>
    <n v="588"/>
    <x v="0"/>
    <n v="8"/>
    <n v="2"/>
    <x v="4"/>
    <n v="1"/>
    <n v="436"/>
    <n v="3"/>
    <x v="0"/>
    <n v="65"/>
    <n v="2"/>
    <x v="0"/>
    <s v="Sales Executive"/>
    <n v="2"/>
    <s v="Married"/>
    <x v="311"/>
    <n v="24624"/>
    <n v="1"/>
    <s v="Y"/>
    <x v="0"/>
    <n v="11"/>
    <n v="3"/>
    <n v="4"/>
    <x v="0"/>
    <n v="0"/>
    <n v="13"/>
    <n v="2"/>
    <n v="3"/>
    <n v="13"/>
    <n v="12"/>
    <x v="14"/>
    <n v="9"/>
  </r>
  <r>
    <n v="27"/>
    <x v="1"/>
    <x v="0"/>
    <n v="1377"/>
    <x v="0"/>
    <n v="2"/>
    <n v="3"/>
    <x v="0"/>
    <n v="1"/>
    <n v="437"/>
    <n v="4"/>
    <x v="1"/>
    <n v="74"/>
    <n v="3"/>
    <x v="0"/>
    <s v="Sales Executive"/>
    <n v="3"/>
    <s v="Single"/>
    <x v="312"/>
    <n v="5242"/>
    <n v="1"/>
    <s v="Y"/>
    <x v="0"/>
    <n v="11"/>
    <n v="3"/>
    <n v="1"/>
    <x v="0"/>
    <n v="0"/>
    <n v="5"/>
    <n v="3"/>
    <n v="3"/>
    <n v="5"/>
    <n v="4"/>
    <x v="0"/>
    <n v="4"/>
  </r>
  <r>
    <n v="31"/>
    <x v="1"/>
    <x v="0"/>
    <n v="691"/>
    <x v="0"/>
    <n v="7"/>
    <n v="3"/>
    <x v="3"/>
    <n v="1"/>
    <n v="438"/>
    <n v="4"/>
    <x v="1"/>
    <n v="73"/>
    <n v="3"/>
    <x v="0"/>
    <s v="Sales Executive"/>
    <n v="4"/>
    <s v="Divorced"/>
    <x v="313"/>
    <n v="7143"/>
    <n v="4"/>
    <s v="Y"/>
    <x v="1"/>
    <n v="12"/>
    <n v="3"/>
    <n v="4"/>
    <x v="0"/>
    <n v="3"/>
    <n v="13"/>
    <n v="3"/>
    <n v="3"/>
    <n v="7"/>
    <n v="7"/>
    <x v="1"/>
    <n v="7"/>
  </r>
  <r>
    <n v="32"/>
    <x v="1"/>
    <x v="0"/>
    <n v="1018"/>
    <x v="1"/>
    <n v="2"/>
    <n v="4"/>
    <x v="2"/>
    <n v="1"/>
    <n v="439"/>
    <n v="1"/>
    <x v="0"/>
    <n v="74"/>
    <n v="4"/>
    <x v="0"/>
    <s v="Research Scientist"/>
    <n v="4"/>
    <s v="Single"/>
    <x v="314"/>
    <n v="10557"/>
    <n v="7"/>
    <s v="Y"/>
    <x v="1"/>
    <n v="16"/>
    <n v="3"/>
    <n v="3"/>
    <x v="0"/>
    <n v="0"/>
    <n v="10"/>
    <n v="0"/>
    <n v="2"/>
    <n v="7"/>
    <n v="7"/>
    <x v="0"/>
    <n v="7"/>
  </r>
  <r>
    <n v="28"/>
    <x v="0"/>
    <x v="0"/>
    <n v="1157"/>
    <x v="1"/>
    <n v="2"/>
    <n v="4"/>
    <x v="2"/>
    <n v="1"/>
    <n v="440"/>
    <n v="1"/>
    <x v="1"/>
    <n v="84"/>
    <n v="1"/>
    <x v="1"/>
    <s v="Research Scientist"/>
    <n v="4"/>
    <s v="Married"/>
    <x v="315"/>
    <n v="24737"/>
    <n v="5"/>
    <s v="Y"/>
    <x v="0"/>
    <n v="13"/>
    <n v="3"/>
    <n v="4"/>
    <x v="0"/>
    <n v="0"/>
    <n v="5"/>
    <n v="4"/>
    <n v="2"/>
    <n v="3"/>
    <n v="2"/>
    <x v="3"/>
    <n v="2"/>
  </r>
  <r>
    <n v="30"/>
    <x v="1"/>
    <x v="0"/>
    <n v="1275"/>
    <x v="1"/>
    <n v="28"/>
    <n v="2"/>
    <x v="2"/>
    <n v="1"/>
    <n v="441"/>
    <n v="4"/>
    <x v="0"/>
    <n v="64"/>
    <n v="3"/>
    <x v="0"/>
    <s v="Research Scientist"/>
    <n v="4"/>
    <s v="Married"/>
    <x v="316"/>
    <n v="11934"/>
    <n v="1"/>
    <s v="Y"/>
    <x v="1"/>
    <n v="13"/>
    <n v="3"/>
    <n v="4"/>
    <x v="0"/>
    <n v="2"/>
    <n v="11"/>
    <n v="2"/>
    <n v="3"/>
    <n v="10"/>
    <n v="8"/>
    <x v="1"/>
    <n v="9"/>
  </r>
  <r>
    <n v="31"/>
    <x v="1"/>
    <x v="1"/>
    <n v="798"/>
    <x v="1"/>
    <n v="7"/>
    <n v="2"/>
    <x v="0"/>
    <n v="1"/>
    <n v="442"/>
    <n v="3"/>
    <x v="0"/>
    <n v="48"/>
    <n v="2"/>
    <x v="2"/>
    <s v="Manufacturing Director"/>
    <n v="3"/>
    <s v="Married"/>
    <x v="317"/>
    <n v="14034"/>
    <n v="1"/>
    <s v="Y"/>
    <x v="1"/>
    <n v="24"/>
    <n v="4"/>
    <n v="1"/>
    <x v="0"/>
    <n v="1"/>
    <n v="10"/>
    <n v="2"/>
    <n v="3"/>
    <n v="10"/>
    <n v="9"/>
    <x v="6"/>
    <n v="9"/>
  </r>
  <r>
    <n v="39"/>
    <x v="1"/>
    <x v="1"/>
    <n v="672"/>
    <x v="1"/>
    <n v="7"/>
    <n v="2"/>
    <x v="2"/>
    <n v="1"/>
    <n v="444"/>
    <n v="3"/>
    <x v="1"/>
    <n v="54"/>
    <n v="2"/>
    <x v="4"/>
    <s v="Manager"/>
    <n v="4"/>
    <s v="Married"/>
    <x v="318"/>
    <n v="21141"/>
    <n v="1"/>
    <s v="Y"/>
    <x v="1"/>
    <n v="15"/>
    <n v="3"/>
    <n v="1"/>
    <x v="0"/>
    <n v="1"/>
    <n v="21"/>
    <n v="2"/>
    <n v="3"/>
    <n v="21"/>
    <n v="9"/>
    <x v="11"/>
    <n v="3"/>
  </r>
  <r>
    <n v="39"/>
    <x v="0"/>
    <x v="0"/>
    <n v="1162"/>
    <x v="0"/>
    <n v="3"/>
    <n v="2"/>
    <x v="2"/>
    <n v="1"/>
    <n v="445"/>
    <n v="4"/>
    <x v="0"/>
    <n v="41"/>
    <n v="3"/>
    <x v="0"/>
    <s v="Sales Executive"/>
    <n v="3"/>
    <s v="Married"/>
    <x v="319"/>
    <n v="17778"/>
    <n v="4"/>
    <s v="Y"/>
    <x v="0"/>
    <n v="18"/>
    <n v="3"/>
    <n v="1"/>
    <x v="0"/>
    <n v="0"/>
    <n v="12"/>
    <n v="3"/>
    <n v="2"/>
    <n v="1"/>
    <n v="0"/>
    <x v="0"/>
    <n v="0"/>
  </r>
  <r>
    <n v="33"/>
    <x v="1"/>
    <x v="1"/>
    <n v="508"/>
    <x v="0"/>
    <n v="10"/>
    <n v="3"/>
    <x v="3"/>
    <n v="1"/>
    <n v="446"/>
    <n v="2"/>
    <x v="1"/>
    <n v="46"/>
    <n v="2"/>
    <x v="0"/>
    <s v="Sales Executive"/>
    <n v="4"/>
    <s v="Single"/>
    <x v="320"/>
    <n v="4317"/>
    <n v="3"/>
    <s v="Y"/>
    <x v="1"/>
    <n v="14"/>
    <n v="3"/>
    <n v="3"/>
    <x v="0"/>
    <n v="0"/>
    <n v="9"/>
    <n v="6"/>
    <n v="2"/>
    <n v="7"/>
    <n v="7"/>
    <x v="0"/>
    <n v="1"/>
  </r>
  <r>
    <n v="47"/>
    <x v="1"/>
    <x v="0"/>
    <n v="1482"/>
    <x v="1"/>
    <n v="5"/>
    <n v="5"/>
    <x v="0"/>
    <n v="1"/>
    <n v="447"/>
    <n v="4"/>
    <x v="1"/>
    <n v="42"/>
    <n v="3"/>
    <x v="4"/>
    <s v="Research Director"/>
    <n v="3"/>
    <s v="Married"/>
    <x v="321"/>
    <n v="16375"/>
    <n v="4"/>
    <s v="Y"/>
    <x v="1"/>
    <n v="11"/>
    <n v="3"/>
    <n v="2"/>
    <x v="0"/>
    <n v="1"/>
    <n v="21"/>
    <n v="2"/>
    <n v="3"/>
    <n v="3"/>
    <n v="2"/>
    <x v="1"/>
    <n v="1"/>
  </r>
  <r>
    <n v="43"/>
    <x v="1"/>
    <x v="1"/>
    <n v="559"/>
    <x v="1"/>
    <n v="10"/>
    <n v="4"/>
    <x v="0"/>
    <n v="1"/>
    <n v="448"/>
    <n v="3"/>
    <x v="0"/>
    <n v="82"/>
    <n v="2"/>
    <x v="0"/>
    <s v="Laboratory Technician"/>
    <n v="3"/>
    <s v="Divorced"/>
    <x v="322"/>
    <n v="6227"/>
    <n v="1"/>
    <s v="Y"/>
    <x v="1"/>
    <n v="11"/>
    <n v="3"/>
    <n v="2"/>
    <x v="0"/>
    <n v="1"/>
    <n v="9"/>
    <n v="3"/>
    <n v="4"/>
    <n v="9"/>
    <n v="7"/>
    <x v="0"/>
    <n v="0"/>
  </r>
  <r>
    <n v="27"/>
    <x v="1"/>
    <x v="2"/>
    <n v="210"/>
    <x v="0"/>
    <n v="1"/>
    <n v="1"/>
    <x v="3"/>
    <n v="1"/>
    <n v="449"/>
    <n v="3"/>
    <x v="1"/>
    <n v="73"/>
    <n v="3"/>
    <x v="0"/>
    <s v="Sales Executive"/>
    <n v="2"/>
    <s v="Married"/>
    <x v="323"/>
    <n v="22107"/>
    <n v="0"/>
    <s v="Y"/>
    <x v="0"/>
    <n v="13"/>
    <n v="3"/>
    <n v="4"/>
    <x v="0"/>
    <n v="1"/>
    <n v="6"/>
    <n v="0"/>
    <n v="3"/>
    <n v="5"/>
    <n v="4"/>
    <x v="1"/>
    <n v="4"/>
  </r>
  <r>
    <n v="54"/>
    <x v="1"/>
    <x v="1"/>
    <n v="928"/>
    <x v="1"/>
    <n v="20"/>
    <n v="4"/>
    <x v="0"/>
    <n v="1"/>
    <n v="450"/>
    <n v="4"/>
    <x v="0"/>
    <n v="31"/>
    <n v="3"/>
    <x v="0"/>
    <s v="Research Scientist"/>
    <n v="3"/>
    <s v="Single"/>
    <x v="324"/>
    <n v="16885"/>
    <n v="3"/>
    <s v="Y"/>
    <x v="1"/>
    <n v="12"/>
    <n v="3"/>
    <n v="4"/>
    <x v="0"/>
    <n v="0"/>
    <n v="20"/>
    <n v="4"/>
    <n v="2"/>
    <n v="4"/>
    <n v="3"/>
    <x v="0"/>
    <n v="3"/>
  </r>
  <r>
    <n v="43"/>
    <x v="1"/>
    <x v="0"/>
    <n v="1001"/>
    <x v="1"/>
    <n v="7"/>
    <n v="3"/>
    <x v="0"/>
    <n v="1"/>
    <n v="451"/>
    <n v="3"/>
    <x v="0"/>
    <n v="43"/>
    <n v="3"/>
    <x v="2"/>
    <s v="Healthcare Representative"/>
    <n v="1"/>
    <s v="Married"/>
    <x v="325"/>
    <n v="9262"/>
    <n v="8"/>
    <s v="Y"/>
    <x v="1"/>
    <n v="16"/>
    <n v="3"/>
    <n v="1"/>
    <x v="0"/>
    <n v="1"/>
    <n v="10"/>
    <n v="1"/>
    <n v="2"/>
    <n v="1"/>
    <n v="0"/>
    <x v="0"/>
    <n v="0"/>
  </r>
  <r>
    <n v="45"/>
    <x v="1"/>
    <x v="0"/>
    <n v="549"/>
    <x v="1"/>
    <n v="8"/>
    <n v="4"/>
    <x v="1"/>
    <n v="1"/>
    <n v="452"/>
    <n v="4"/>
    <x v="1"/>
    <n v="75"/>
    <n v="3"/>
    <x v="0"/>
    <s v="Research Scientist"/>
    <n v="4"/>
    <s v="Married"/>
    <x v="326"/>
    <n v="9278"/>
    <n v="9"/>
    <s v="Y"/>
    <x v="1"/>
    <n v="14"/>
    <n v="3"/>
    <n v="1"/>
    <x v="0"/>
    <n v="2"/>
    <n v="12"/>
    <n v="3"/>
    <n v="3"/>
    <n v="10"/>
    <n v="9"/>
    <x v="10"/>
    <n v="8"/>
  </r>
  <r>
    <n v="40"/>
    <x v="1"/>
    <x v="0"/>
    <n v="1124"/>
    <x v="0"/>
    <n v="1"/>
    <n v="2"/>
    <x v="2"/>
    <n v="1"/>
    <n v="453"/>
    <n v="2"/>
    <x v="1"/>
    <n v="57"/>
    <n v="1"/>
    <x v="0"/>
    <s v="Sales Executive"/>
    <n v="4"/>
    <s v="Married"/>
    <x v="327"/>
    <n v="13273"/>
    <n v="2"/>
    <s v="Y"/>
    <x v="0"/>
    <n v="22"/>
    <n v="4"/>
    <n v="3"/>
    <x v="0"/>
    <n v="3"/>
    <n v="6"/>
    <n v="2"/>
    <n v="2"/>
    <n v="4"/>
    <n v="3"/>
    <x v="0"/>
    <n v="2"/>
  </r>
  <r>
    <n v="29"/>
    <x v="0"/>
    <x v="0"/>
    <n v="318"/>
    <x v="1"/>
    <n v="8"/>
    <n v="4"/>
    <x v="1"/>
    <n v="1"/>
    <n v="454"/>
    <n v="2"/>
    <x v="1"/>
    <n v="77"/>
    <n v="1"/>
    <x v="1"/>
    <s v="Laboratory Technician"/>
    <n v="1"/>
    <s v="Married"/>
    <x v="328"/>
    <n v="4759"/>
    <n v="1"/>
    <s v="Y"/>
    <x v="0"/>
    <n v="11"/>
    <n v="3"/>
    <n v="4"/>
    <x v="0"/>
    <n v="0"/>
    <n v="7"/>
    <n v="4"/>
    <n v="2"/>
    <n v="7"/>
    <n v="7"/>
    <x v="0"/>
    <n v="7"/>
  </r>
  <r>
    <n v="29"/>
    <x v="1"/>
    <x v="0"/>
    <n v="738"/>
    <x v="1"/>
    <n v="9"/>
    <n v="5"/>
    <x v="1"/>
    <n v="1"/>
    <n v="455"/>
    <n v="2"/>
    <x v="1"/>
    <n v="30"/>
    <n v="2"/>
    <x v="1"/>
    <s v="Laboratory Technician"/>
    <n v="4"/>
    <s v="Single"/>
    <x v="329"/>
    <n v="7621"/>
    <n v="0"/>
    <s v="Y"/>
    <x v="1"/>
    <n v="17"/>
    <n v="3"/>
    <n v="3"/>
    <x v="0"/>
    <n v="0"/>
    <n v="4"/>
    <n v="2"/>
    <n v="3"/>
    <n v="3"/>
    <n v="2"/>
    <x v="3"/>
    <n v="2"/>
  </r>
  <r>
    <n v="30"/>
    <x v="1"/>
    <x v="0"/>
    <n v="570"/>
    <x v="0"/>
    <n v="5"/>
    <n v="3"/>
    <x v="3"/>
    <n v="1"/>
    <n v="456"/>
    <n v="4"/>
    <x v="0"/>
    <n v="30"/>
    <n v="2"/>
    <x v="0"/>
    <s v="Sales Executive"/>
    <n v="3"/>
    <s v="Divorced"/>
    <x v="330"/>
    <n v="5431"/>
    <n v="1"/>
    <s v="Y"/>
    <x v="1"/>
    <n v="13"/>
    <n v="3"/>
    <n v="3"/>
    <x v="0"/>
    <n v="3"/>
    <n v="10"/>
    <n v="2"/>
    <n v="3"/>
    <n v="10"/>
    <n v="9"/>
    <x v="1"/>
    <n v="2"/>
  </r>
  <r>
    <n v="27"/>
    <x v="1"/>
    <x v="0"/>
    <n v="1130"/>
    <x v="0"/>
    <n v="8"/>
    <n v="4"/>
    <x v="3"/>
    <n v="1"/>
    <n v="458"/>
    <n v="2"/>
    <x v="0"/>
    <n v="56"/>
    <n v="3"/>
    <x v="0"/>
    <s v="Sales Executive"/>
    <n v="2"/>
    <s v="Married"/>
    <x v="331"/>
    <n v="3415"/>
    <n v="1"/>
    <s v="Y"/>
    <x v="1"/>
    <n v="18"/>
    <n v="3"/>
    <n v="1"/>
    <x v="0"/>
    <n v="1"/>
    <n v="8"/>
    <n v="3"/>
    <n v="3"/>
    <n v="8"/>
    <n v="7"/>
    <x v="0"/>
    <n v="7"/>
  </r>
  <r>
    <n v="37"/>
    <x v="1"/>
    <x v="0"/>
    <n v="1192"/>
    <x v="1"/>
    <n v="5"/>
    <n v="2"/>
    <x v="2"/>
    <n v="1"/>
    <n v="460"/>
    <n v="4"/>
    <x v="1"/>
    <n v="61"/>
    <n v="3"/>
    <x v="0"/>
    <s v="Manufacturing Director"/>
    <n v="4"/>
    <s v="Divorced"/>
    <x v="136"/>
    <n v="23177"/>
    <n v="7"/>
    <s v="Y"/>
    <x v="1"/>
    <n v="16"/>
    <n v="3"/>
    <n v="3"/>
    <x v="0"/>
    <n v="2"/>
    <n v="8"/>
    <n v="2"/>
    <n v="2"/>
    <n v="6"/>
    <n v="2"/>
    <x v="0"/>
    <n v="4"/>
  </r>
  <r>
    <n v="38"/>
    <x v="1"/>
    <x v="0"/>
    <n v="343"/>
    <x v="1"/>
    <n v="15"/>
    <n v="2"/>
    <x v="0"/>
    <n v="1"/>
    <n v="461"/>
    <n v="3"/>
    <x v="1"/>
    <n v="92"/>
    <n v="2"/>
    <x v="2"/>
    <s v="Research Director"/>
    <n v="4"/>
    <s v="Divorced"/>
    <x v="332"/>
    <n v="15682"/>
    <n v="0"/>
    <s v="Y"/>
    <x v="0"/>
    <n v="14"/>
    <n v="3"/>
    <n v="2"/>
    <x v="0"/>
    <n v="1"/>
    <n v="12"/>
    <n v="3"/>
    <n v="3"/>
    <n v="11"/>
    <n v="10"/>
    <x v="3"/>
    <n v="9"/>
  </r>
  <r>
    <n v="31"/>
    <x v="1"/>
    <x v="0"/>
    <n v="1232"/>
    <x v="1"/>
    <n v="7"/>
    <n v="4"/>
    <x v="2"/>
    <n v="1"/>
    <n v="462"/>
    <n v="3"/>
    <x v="0"/>
    <n v="39"/>
    <n v="3"/>
    <x v="2"/>
    <s v="Manufacturing Director"/>
    <n v="4"/>
    <s v="Single"/>
    <x v="333"/>
    <n v="25713"/>
    <n v="1"/>
    <s v="Y"/>
    <x v="0"/>
    <n v="14"/>
    <n v="3"/>
    <n v="3"/>
    <x v="0"/>
    <n v="0"/>
    <n v="11"/>
    <n v="2"/>
    <n v="2"/>
    <n v="11"/>
    <n v="9"/>
    <x v="5"/>
    <n v="10"/>
  </r>
  <r>
    <n v="29"/>
    <x v="1"/>
    <x v="0"/>
    <n v="144"/>
    <x v="0"/>
    <n v="10"/>
    <n v="1"/>
    <x v="3"/>
    <n v="1"/>
    <n v="463"/>
    <n v="4"/>
    <x v="0"/>
    <n v="39"/>
    <n v="2"/>
    <x v="0"/>
    <s v="Sales Executive"/>
    <n v="2"/>
    <s v="Divorced"/>
    <x v="334"/>
    <n v="11866"/>
    <n v="1"/>
    <s v="Y"/>
    <x v="0"/>
    <n v="14"/>
    <n v="3"/>
    <n v="1"/>
    <x v="0"/>
    <n v="2"/>
    <n v="7"/>
    <n v="2"/>
    <n v="3"/>
    <n v="7"/>
    <n v="7"/>
    <x v="1"/>
    <n v="7"/>
  </r>
  <r>
    <n v="35"/>
    <x v="1"/>
    <x v="0"/>
    <n v="1296"/>
    <x v="1"/>
    <n v="5"/>
    <n v="4"/>
    <x v="4"/>
    <n v="1"/>
    <n v="464"/>
    <n v="3"/>
    <x v="1"/>
    <n v="62"/>
    <n v="3"/>
    <x v="2"/>
    <s v="Manufacturing Director"/>
    <n v="2"/>
    <s v="Single"/>
    <x v="335"/>
    <n v="18264"/>
    <n v="0"/>
    <s v="Y"/>
    <x v="1"/>
    <n v="13"/>
    <n v="3"/>
    <n v="4"/>
    <x v="0"/>
    <n v="0"/>
    <n v="17"/>
    <n v="5"/>
    <n v="3"/>
    <n v="16"/>
    <n v="6"/>
    <x v="0"/>
    <n v="13"/>
  </r>
  <r>
    <n v="23"/>
    <x v="1"/>
    <x v="0"/>
    <n v="1309"/>
    <x v="1"/>
    <n v="26"/>
    <n v="1"/>
    <x v="0"/>
    <n v="1"/>
    <n v="465"/>
    <n v="3"/>
    <x v="1"/>
    <n v="83"/>
    <n v="3"/>
    <x v="1"/>
    <s v="Research Scientist"/>
    <n v="4"/>
    <s v="Divorced"/>
    <x v="336"/>
    <n v="16092"/>
    <n v="1"/>
    <s v="Y"/>
    <x v="1"/>
    <n v="12"/>
    <n v="3"/>
    <n v="3"/>
    <x v="0"/>
    <n v="2"/>
    <n v="4"/>
    <n v="2"/>
    <n v="2"/>
    <n v="4"/>
    <n v="2"/>
    <x v="0"/>
    <n v="2"/>
  </r>
  <r>
    <n v="41"/>
    <x v="1"/>
    <x v="0"/>
    <n v="483"/>
    <x v="1"/>
    <n v="6"/>
    <n v="3"/>
    <x v="2"/>
    <n v="1"/>
    <n v="466"/>
    <n v="4"/>
    <x v="1"/>
    <n v="95"/>
    <n v="2"/>
    <x v="0"/>
    <s v="Manufacturing Director"/>
    <n v="2"/>
    <s v="Single"/>
    <x v="337"/>
    <n v="10110"/>
    <n v="6"/>
    <s v="Y"/>
    <x v="0"/>
    <n v="15"/>
    <n v="3"/>
    <n v="4"/>
    <x v="0"/>
    <n v="0"/>
    <n v="8"/>
    <n v="3"/>
    <n v="3"/>
    <n v="5"/>
    <n v="4"/>
    <x v="1"/>
    <n v="2"/>
  </r>
  <r>
    <n v="47"/>
    <x v="1"/>
    <x v="1"/>
    <n v="1309"/>
    <x v="0"/>
    <n v="4"/>
    <n v="1"/>
    <x v="2"/>
    <n v="1"/>
    <n v="467"/>
    <n v="2"/>
    <x v="1"/>
    <n v="99"/>
    <n v="3"/>
    <x v="0"/>
    <s v="Sales Representative"/>
    <n v="3"/>
    <s v="Single"/>
    <x v="338"/>
    <n v="25751"/>
    <n v="3"/>
    <s v="Y"/>
    <x v="1"/>
    <n v="19"/>
    <n v="3"/>
    <n v="1"/>
    <x v="0"/>
    <n v="0"/>
    <n v="5"/>
    <n v="3"/>
    <n v="3"/>
    <n v="0"/>
    <n v="0"/>
    <x v="0"/>
    <n v="0"/>
  </r>
  <r>
    <n v="42"/>
    <x v="1"/>
    <x v="0"/>
    <n v="810"/>
    <x v="1"/>
    <n v="23"/>
    <n v="5"/>
    <x v="0"/>
    <n v="1"/>
    <n v="468"/>
    <n v="1"/>
    <x v="0"/>
    <n v="44"/>
    <n v="3"/>
    <x v="3"/>
    <s v="Research Director"/>
    <n v="4"/>
    <s v="Single"/>
    <x v="339"/>
    <n v="15901"/>
    <n v="2"/>
    <s v="Y"/>
    <x v="1"/>
    <n v="14"/>
    <n v="3"/>
    <n v="2"/>
    <x v="0"/>
    <n v="0"/>
    <n v="16"/>
    <n v="2"/>
    <n v="3"/>
    <n v="1"/>
    <n v="0"/>
    <x v="0"/>
    <n v="0"/>
  </r>
  <r>
    <n v="29"/>
    <x v="1"/>
    <x v="2"/>
    <n v="746"/>
    <x v="0"/>
    <n v="2"/>
    <n v="3"/>
    <x v="0"/>
    <n v="1"/>
    <n v="469"/>
    <n v="4"/>
    <x v="1"/>
    <n v="61"/>
    <n v="3"/>
    <x v="0"/>
    <s v="Sales Executive"/>
    <n v="3"/>
    <s v="Married"/>
    <x v="340"/>
    <n v="16928"/>
    <n v="1"/>
    <s v="Y"/>
    <x v="1"/>
    <n v="14"/>
    <n v="3"/>
    <n v="1"/>
    <x v="0"/>
    <n v="1"/>
    <n v="4"/>
    <n v="3"/>
    <n v="2"/>
    <n v="4"/>
    <n v="3"/>
    <x v="0"/>
    <n v="2"/>
  </r>
  <r>
    <n v="42"/>
    <x v="1"/>
    <x v="0"/>
    <n v="544"/>
    <x v="2"/>
    <n v="2"/>
    <n v="1"/>
    <x v="4"/>
    <n v="1"/>
    <n v="470"/>
    <n v="3"/>
    <x v="1"/>
    <n v="52"/>
    <n v="3"/>
    <x v="1"/>
    <s v="Human Resources"/>
    <n v="3"/>
    <s v="Divorced"/>
    <x v="341"/>
    <n v="24017"/>
    <n v="0"/>
    <s v="Y"/>
    <x v="0"/>
    <n v="11"/>
    <n v="3"/>
    <n v="3"/>
    <x v="0"/>
    <n v="1"/>
    <n v="4"/>
    <n v="5"/>
    <n v="3"/>
    <n v="3"/>
    <n v="2"/>
    <x v="1"/>
    <n v="0"/>
  </r>
  <r>
    <n v="32"/>
    <x v="1"/>
    <x v="0"/>
    <n v="1062"/>
    <x v="1"/>
    <n v="2"/>
    <n v="3"/>
    <x v="2"/>
    <n v="1"/>
    <n v="471"/>
    <n v="3"/>
    <x v="0"/>
    <n v="75"/>
    <n v="3"/>
    <x v="1"/>
    <s v="Laboratory Technician"/>
    <n v="2"/>
    <s v="Married"/>
    <x v="342"/>
    <n v="3956"/>
    <n v="1"/>
    <s v="Y"/>
    <x v="1"/>
    <n v="13"/>
    <n v="3"/>
    <n v="3"/>
    <x v="0"/>
    <n v="1"/>
    <n v="8"/>
    <n v="4"/>
    <n v="3"/>
    <n v="8"/>
    <n v="0"/>
    <x v="0"/>
    <n v="7"/>
  </r>
  <r>
    <n v="48"/>
    <x v="1"/>
    <x v="0"/>
    <n v="530"/>
    <x v="0"/>
    <n v="29"/>
    <n v="1"/>
    <x v="2"/>
    <n v="1"/>
    <n v="473"/>
    <n v="1"/>
    <x v="0"/>
    <n v="91"/>
    <n v="3"/>
    <x v="2"/>
    <s v="Manager"/>
    <n v="3"/>
    <s v="Married"/>
    <x v="343"/>
    <n v="23978"/>
    <n v="3"/>
    <s v="Y"/>
    <x v="1"/>
    <n v="21"/>
    <n v="4"/>
    <n v="2"/>
    <x v="0"/>
    <n v="1"/>
    <n v="15"/>
    <n v="3"/>
    <n v="1"/>
    <n v="0"/>
    <n v="0"/>
    <x v="0"/>
    <n v="0"/>
  </r>
  <r>
    <n v="37"/>
    <x v="1"/>
    <x v="0"/>
    <n v="1319"/>
    <x v="1"/>
    <n v="6"/>
    <n v="3"/>
    <x v="2"/>
    <n v="1"/>
    <n v="474"/>
    <n v="3"/>
    <x v="1"/>
    <n v="51"/>
    <n v="4"/>
    <x v="0"/>
    <s v="Research Scientist"/>
    <n v="1"/>
    <s v="Divorced"/>
    <x v="344"/>
    <n v="17001"/>
    <n v="4"/>
    <s v="Y"/>
    <x v="0"/>
    <n v="13"/>
    <n v="3"/>
    <n v="1"/>
    <x v="0"/>
    <n v="2"/>
    <n v="13"/>
    <n v="2"/>
    <n v="3"/>
    <n v="7"/>
    <n v="7"/>
    <x v="7"/>
    <n v="7"/>
  </r>
  <r>
    <n v="30"/>
    <x v="1"/>
    <x v="2"/>
    <n v="641"/>
    <x v="0"/>
    <n v="25"/>
    <n v="2"/>
    <x v="4"/>
    <n v="1"/>
    <n v="475"/>
    <n v="4"/>
    <x v="0"/>
    <n v="85"/>
    <n v="3"/>
    <x v="0"/>
    <s v="Sales Executive"/>
    <n v="3"/>
    <s v="Married"/>
    <x v="345"/>
    <n v="6069"/>
    <n v="7"/>
    <s v="Y"/>
    <x v="0"/>
    <n v="12"/>
    <n v="3"/>
    <n v="2"/>
    <x v="0"/>
    <n v="1"/>
    <n v="4"/>
    <n v="2"/>
    <n v="4"/>
    <n v="2"/>
    <n v="2"/>
    <x v="3"/>
    <n v="2"/>
  </r>
  <r>
    <n v="26"/>
    <x v="1"/>
    <x v="0"/>
    <n v="933"/>
    <x v="0"/>
    <n v="1"/>
    <n v="3"/>
    <x v="0"/>
    <n v="1"/>
    <n v="476"/>
    <n v="3"/>
    <x v="1"/>
    <n v="57"/>
    <n v="3"/>
    <x v="0"/>
    <s v="Sales Executive"/>
    <n v="3"/>
    <s v="Married"/>
    <x v="346"/>
    <n v="20156"/>
    <n v="1"/>
    <s v="Y"/>
    <x v="1"/>
    <n v="17"/>
    <n v="3"/>
    <n v="2"/>
    <x v="0"/>
    <n v="1"/>
    <n v="8"/>
    <n v="3"/>
    <n v="3"/>
    <n v="8"/>
    <n v="7"/>
    <x v="4"/>
    <n v="7"/>
  </r>
  <r>
    <n v="42"/>
    <x v="1"/>
    <x v="0"/>
    <n v="1332"/>
    <x v="1"/>
    <n v="2"/>
    <n v="4"/>
    <x v="1"/>
    <n v="1"/>
    <n v="477"/>
    <n v="1"/>
    <x v="1"/>
    <n v="98"/>
    <n v="2"/>
    <x v="0"/>
    <s v="Healthcare Representative"/>
    <n v="4"/>
    <s v="Single"/>
    <x v="347"/>
    <n v="17078"/>
    <n v="3"/>
    <s v="Y"/>
    <x v="1"/>
    <n v="23"/>
    <n v="4"/>
    <n v="2"/>
    <x v="0"/>
    <n v="0"/>
    <n v="14"/>
    <n v="6"/>
    <n v="3"/>
    <n v="1"/>
    <n v="0"/>
    <x v="0"/>
    <n v="0"/>
  </r>
  <r>
    <n v="21"/>
    <x v="0"/>
    <x v="1"/>
    <n v="756"/>
    <x v="0"/>
    <n v="1"/>
    <n v="1"/>
    <x v="4"/>
    <n v="1"/>
    <n v="478"/>
    <n v="1"/>
    <x v="0"/>
    <n v="99"/>
    <n v="2"/>
    <x v="1"/>
    <s v="Sales Representative"/>
    <n v="2"/>
    <s v="Single"/>
    <x v="348"/>
    <n v="9150"/>
    <n v="1"/>
    <s v="Y"/>
    <x v="0"/>
    <n v="11"/>
    <n v="3"/>
    <n v="3"/>
    <x v="0"/>
    <n v="0"/>
    <n v="3"/>
    <n v="3"/>
    <n v="3"/>
    <n v="3"/>
    <n v="2"/>
    <x v="1"/>
    <n v="2"/>
  </r>
  <r>
    <n v="36"/>
    <x v="1"/>
    <x v="2"/>
    <n v="845"/>
    <x v="0"/>
    <n v="1"/>
    <n v="5"/>
    <x v="2"/>
    <n v="1"/>
    <n v="479"/>
    <n v="4"/>
    <x v="0"/>
    <n v="45"/>
    <n v="3"/>
    <x v="0"/>
    <s v="Sales Executive"/>
    <n v="4"/>
    <s v="Single"/>
    <x v="349"/>
    <n v="15276"/>
    <n v="4"/>
    <s v="Y"/>
    <x v="1"/>
    <n v="15"/>
    <n v="3"/>
    <n v="2"/>
    <x v="0"/>
    <n v="0"/>
    <n v="7"/>
    <n v="6"/>
    <n v="3"/>
    <n v="1"/>
    <n v="0"/>
    <x v="0"/>
    <n v="0"/>
  </r>
  <r>
    <n v="36"/>
    <x v="1"/>
    <x v="1"/>
    <n v="541"/>
    <x v="0"/>
    <n v="3"/>
    <n v="4"/>
    <x v="2"/>
    <n v="1"/>
    <n v="481"/>
    <n v="1"/>
    <x v="1"/>
    <n v="48"/>
    <n v="2"/>
    <x v="2"/>
    <s v="Sales Executive"/>
    <n v="4"/>
    <s v="Married"/>
    <x v="350"/>
    <n v="7246"/>
    <n v="4"/>
    <s v="Y"/>
    <x v="1"/>
    <n v="11"/>
    <n v="3"/>
    <n v="1"/>
    <x v="0"/>
    <n v="1"/>
    <n v="16"/>
    <n v="2"/>
    <n v="3"/>
    <n v="13"/>
    <n v="9"/>
    <x v="1"/>
    <n v="12"/>
  </r>
  <r>
    <n v="57"/>
    <x v="1"/>
    <x v="0"/>
    <n v="593"/>
    <x v="1"/>
    <n v="1"/>
    <n v="4"/>
    <x v="2"/>
    <n v="1"/>
    <n v="482"/>
    <n v="4"/>
    <x v="1"/>
    <n v="88"/>
    <n v="3"/>
    <x v="0"/>
    <s v="Healthcare Representative"/>
    <n v="3"/>
    <s v="Married"/>
    <x v="351"/>
    <n v="2967"/>
    <n v="2"/>
    <s v="Y"/>
    <x v="1"/>
    <n v="11"/>
    <n v="3"/>
    <n v="3"/>
    <x v="0"/>
    <n v="0"/>
    <n v="15"/>
    <n v="2"/>
    <n v="3"/>
    <n v="3"/>
    <n v="2"/>
    <x v="1"/>
    <n v="2"/>
  </r>
  <r>
    <n v="40"/>
    <x v="1"/>
    <x v="0"/>
    <n v="1171"/>
    <x v="1"/>
    <n v="10"/>
    <n v="4"/>
    <x v="0"/>
    <n v="1"/>
    <n v="483"/>
    <n v="4"/>
    <x v="0"/>
    <n v="46"/>
    <n v="4"/>
    <x v="1"/>
    <s v="Laboratory Technician"/>
    <n v="3"/>
    <s v="Married"/>
    <x v="352"/>
    <n v="22495"/>
    <n v="3"/>
    <s v="Y"/>
    <x v="0"/>
    <n v="13"/>
    <n v="3"/>
    <n v="3"/>
    <x v="0"/>
    <n v="1"/>
    <n v="10"/>
    <n v="3"/>
    <n v="3"/>
    <n v="7"/>
    <n v="7"/>
    <x v="1"/>
    <n v="7"/>
  </r>
  <r>
    <n v="21"/>
    <x v="1"/>
    <x v="2"/>
    <n v="895"/>
    <x v="0"/>
    <n v="9"/>
    <n v="2"/>
    <x v="2"/>
    <n v="1"/>
    <n v="484"/>
    <n v="1"/>
    <x v="1"/>
    <n v="39"/>
    <n v="3"/>
    <x v="1"/>
    <s v="Sales Representative"/>
    <n v="4"/>
    <s v="Single"/>
    <x v="353"/>
    <n v="2851"/>
    <n v="1"/>
    <s v="Y"/>
    <x v="1"/>
    <n v="24"/>
    <n v="4"/>
    <n v="3"/>
    <x v="0"/>
    <n v="0"/>
    <n v="3"/>
    <n v="3"/>
    <n v="2"/>
    <n v="3"/>
    <n v="2"/>
    <x v="3"/>
    <n v="2"/>
  </r>
  <r>
    <n v="33"/>
    <x v="0"/>
    <x v="0"/>
    <n v="350"/>
    <x v="0"/>
    <n v="5"/>
    <n v="3"/>
    <x v="3"/>
    <n v="1"/>
    <n v="485"/>
    <n v="4"/>
    <x v="0"/>
    <n v="34"/>
    <n v="3"/>
    <x v="1"/>
    <s v="Sales Representative"/>
    <n v="3"/>
    <s v="Single"/>
    <x v="354"/>
    <n v="9150"/>
    <n v="1"/>
    <s v="Y"/>
    <x v="0"/>
    <n v="13"/>
    <n v="3"/>
    <n v="2"/>
    <x v="0"/>
    <n v="0"/>
    <n v="1"/>
    <n v="2"/>
    <n v="3"/>
    <n v="1"/>
    <n v="0"/>
    <x v="0"/>
    <n v="0"/>
  </r>
  <r>
    <n v="37"/>
    <x v="1"/>
    <x v="0"/>
    <n v="921"/>
    <x v="1"/>
    <n v="10"/>
    <n v="3"/>
    <x v="2"/>
    <n v="1"/>
    <n v="486"/>
    <n v="3"/>
    <x v="0"/>
    <n v="98"/>
    <n v="3"/>
    <x v="1"/>
    <s v="Laboratory Technician"/>
    <n v="1"/>
    <s v="Married"/>
    <x v="138"/>
    <n v="17663"/>
    <n v="6"/>
    <s v="Y"/>
    <x v="1"/>
    <n v="20"/>
    <n v="4"/>
    <n v="2"/>
    <x v="0"/>
    <n v="1"/>
    <n v="17"/>
    <n v="3"/>
    <n v="3"/>
    <n v="5"/>
    <n v="4"/>
    <x v="0"/>
    <n v="3"/>
  </r>
  <r>
    <n v="46"/>
    <x v="1"/>
    <x v="2"/>
    <n v="1144"/>
    <x v="1"/>
    <n v="7"/>
    <n v="4"/>
    <x v="2"/>
    <n v="1"/>
    <n v="487"/>
    <n v="3"/>
    <x v="0"/>
    <n v="30"/>
    <n v="3"/>
    <x v="0"/>
    <s v="Manufacturing Director"/>
    <n v="3"/>
    <s v="Married"/>
    <x v="355"/>
    <n v="16044"/>
    <n v="2"/>
    <s v="Y"/>
    <x v="1"/>
    <n v="14"/>
    <n v="3"/>
    <n v="3"/>
    <x v="0"/>
    <n v="0"/>
    <n v="7"/>
    <n v="2"/>
    <n v="4"/>
    <n v="1"/>
    <n v="0"/>
    <x v="0"/>
    <n v="0"/>
  </r>
  <r>
    <n v="41"/>
    <x v="0"/>
    <x v="1"/>
    <n v="143"/>
    <x v="0"/>
    <n v="4"/>
    <n v="3"/>
    <x v="3"/>
    <n v="1"/>
    <n v="488"/>
    <n v="1"/>
    <x v="1"/>
    <n v="56"/>
    <n v="3"/>
    <x v="0"/>
    <s v="Sales Executive"/>
    <n v="2"/>
    <s v="Single"/>
    <x v="356"/>
    <n v="9558"/>
    <n v="1"/>
    <s v="Y"/>
    <x v="1"/>
    <n v="18"/>
    <n v="3"/>
    <n v="3"/>
    <x v="0"/>
    <n v="0"/>
    <n v="8"/>
    <n v="5"/>
    <n v="3"/>
    <n v="8"/>
    <n v="7"/>
    <x v="4"/>
    <n v="7"/>
  </r>
  <r>
    <n v="50"/>
    <x v="1"/>
    <x v="0"/>
    <n v="1046"/>
    <x v="1"/>
    <n v="10"/>
    <n v="3"/>
    <x v="4"/>
    <n v="1"/>
    <n v="491"/>
    <n v="4"/>
    <x v="1"/>
    <n v="100"/>
    <n v="2"/>
    <x v="2"/>
    <s v="Healthcare Representative"/>
    <n v="4"/>
    <s v="Single"/>
    <x v="357"/>
    <n v="2755"/>
    <n v="6"/>
    <s v="Y"/>
    <x v="1"/>
    <n v="15"/>
    <n v="3"/>
    <n v="4"/>
    <x v="0"/>
    <n v="0"/>
    <n v="20"/>
    <n v="2"/>
    <n v="3"/>
    <n v="4"/>
    <n v="3"/>
    <x v="1"/>
    <n v="3"/>
  </r>
  <r>
    <n v="40"/>
    <x v="0"/>
    <x v="0"/>
    <n v="575"/>
    <x v="0"/>
    <n v="22"/>
    <n v="2"/>
    <x v="3"/>
    <n v="1"/>
    <n v="492"/>
    <n v="3"/>
    <x v="1"/>
    <n v="68"/>
    <n v="2"/>
    <x v="0"/>
    <s v="Sales Executive"/>
    <n v="3"/>
    <s v="Married"/>
    <x v="358"/>
    <n v="6110"/>
    <n v="2"/>
    <s v="Y"/>
    <x v="0"/>
    <n v="12"/>
    <n v="3"/>
    <n v="1"/>
    <x v="0"/>
    <n v="2"/>
    <n v="8"/>
    <n v="6"/>
    <n v="3"/>
    <n v="6"/>
    <n v="4"/>
    <x v="1"/>
    <n v="0"/>
  </r>
  <r>
    <n v="31"/>
    <x v="1"/>
    <x v="0"/>
    <n v="408"/>
    <x v="1"/>
    <n v="9"/>
    <n v="4"/>
    <x v="0"/>
    <n v="1"/>
    <n v="493"/>
    <n v="3"/>
    <x v="1"/>
    <n v="42"/>
    <n v="2"/>
    <x v="1"/>
    <s v="Research Scientist"/>
    <n v="2"/>
    <s v="Single"/>
    <x v="210"/>
    <n v="7551"/>
    <n v="0"/>
    <s v="Y"/>
    <x v="0"/>
    <n v="16"/>
    <n v="3"/>
    <n v="4"/>
    <x v="0"/>
    <n v="0"/>
    <n v="3"/>
    <n v="5"/>
    <n v="3"/>
    <n v="2"/>
    <n v="2"/>
    <x v="3"/>
    <n v="2"/>
  </r>
  <r>
    <n v="21"/>
    <x v="0"/>
    <x v="0"/>
    <n v="156"/>
    <x v="0"/>
    <n v="12"/>
    <n v="3"/>
    <x v="0"/>
    <n v="1"/>
    <n v="494"/>
    <n v="3"/>
    <x v="0"/>
    <n v="90"/>
    <n v="4"/>
    <x v="1"/>
    <s v="Sales Representative"/>
    <n v="2"/>
    <s v="Single"/>
    <x v="359"/>
    <n v="25422"/>
    <n v="1"/>
    <s v="Y"/>
    <x v="1"/>
    <n v="15"/>
    <n v="3"/>
    <n v="4"/>
    <x v="0"/>
    <n v="0"/>
    <n v="1"/>
    <n v="0"/>
    <n v="3"/>
    <n v="1"/>
    <n v="0"/>
    <x v="0"/>
    <n v="0"/>
  </r>
  <r>
    <n v="29"/>
    <x v="1"/>
    <x v="0"/>
    <n v="1283"/>
    <x v="1"/>
    <n v="23"/>
    <n v="3"/>
    <x v="0"/>
    <n v="1"/>
    <n v="495"/>
    <n v="4"/>
    <x v="1"/>
    <n v="54"/>
    <n v="3"/>
    <x v="1"/>
    <s v="Research Scientist"/>
    <n v="4"/>
    <s v="Single"/>
    <x v="360"/>
    <n v="18168"/>
    <n v="9"/>
    <s v="Y"/>
    <x v="1"/>
    <n v="16"/>
    <n v="3"/>
    <n v="4"/>
    <x v="0"/>
    <n v="0"/>
    <n v="6"/>
    <n v="4"/>
    <n v="3"/>
    <n v="3"/>
    <n v="2"/>
    <x v="1"/>
    <n v="2"/>
  </r>
  <r>
    <n v="35"/>
    <x v="1"/>
    <x v="0"/>
    <n v="755"/>
    <x v="1"/>
    <n v="9"/>
    <n v="4"/>
    <x v="0"/>
    <n v="1"/>
    <n v="496"/>
    <n v="3"/>
    <x v="1"/>
    <n v="97"/>
    <n v="2"/>
    <x v="0"/>
    <s v="Healthcare Representative"/>
    <n v="2"/>
    <s v="Single"/>
    <x v="361"/>
    <n v="19394"/>
    <n v="9"/>
    <s v="Y"/>
    <x v="1"/>
    <n v="19"/>
    <n v="3"/>
    <n v="3"/>
    <x v="0"/>
    <n v="0"/>
    <n v="10"/>
    <n v="5"/>
    <n v="3"/>
    <n v="1"/>
    <n v="1"/>
    <x v="0"/>
    <n v="0"/>
  </r>
  <r>
    <n v="27"/>
    <x v="1"/>
    <x v="0"/>
    <n v="1469"/>
    <x v="1"/>
    <n v="1"/>
    <n v="2"/>
    <x v="2"/>
    <n v="1"/>
    <n v="497"/>
    <n v="4"/>
    <x v="1"/>
    <n v="82"/>
    <n v="3"/>
    <x v="1"/>
    <s v="Laboratory Technician"/>
    <n v="2"/>
    <s v="Divorced"/>
    <x v="362"/>
    <n v="17881"/>
    <n v="1"/>
    <s v="Y"/>
    <x v="1"/>
    <n v="11"/>
    <n v="3"/>
    <n v="2"/>
    <x v="0"/>
    <n v="1"/>
    <n v="5"/>
    <n v="2"/>
    <n v="3"/>
    <n v="5"/>
    <n v="2"/>
    <x v="0"/>
    <n v="4"/>
  </r>
  <r>
    <n v="28"/>
    <x v="1"/>
    <x v="0"/>
    <n v="304"/>
    <x v="0"/>
    <n v="9"/>
    <n v="4"/>
    <x v="0"/>
    <n v="1"/>
    <n v="498"/>
    <n v="2"/>
    <x v="1"/>
    <n v="92"/>
    <n v="3"/>
    <x v="0"/>
    <s v="Sales Executive"/>
    <n v="4"/>
    <s v="Single"/>
    <x v="363"/>
    <n v="20750"/>
    <n v="1"/>
    <s v="Y"/>
    <x v="1"/>
    <n v="16"/>
    <n v="3"/>
    <n v="4"/>
    <x v="0"/>
    <n v="0"/>
    <n v="7"/>
    <n v="1"/>
    <n v="3"/>
    <n v="7"/>
    <n v="5"/>
    <x v="0"/>
    <n v="7"/>
  </r>
  <r>
    <n v="49"/>
    <x v="1"/>
    <x v="0"/>
    <n v="1261"/>
    <x v="1"/>
    <n v="7"/>
    <n v="3"/>
    <x v="1"/>
    <n v="1"/>
    <n v="499"/>
    <n v="2"/>
    <x v="1"/>
    <n v="31"/>
    <n v="2"/>
    <x v="2"/>
    <s v="Healthcare Representative"/>
    <n v="3"/>
    <s v="Single"/>
    <x v="364"/>
    <n v="12066"/>
    <n v="8"/>
    <s v="Y"/>
    <x v="1"/>
    <n v="24"/>
    <n v="4"/>
    <n v="3"/>
    <x v="0"/>
    <n v="0"/>
    <n v="26"/>
    <n v="2"/>
    <n v="3"/>
    <n v="5"/>
    <n v="2"/>
    <x v="0"/>
    <n v="0"/>
  </r>
  <r>
    <n v="51"/>
    <x v="1"/>
    <x v="0"/>
    <n v="1178"/>
    <x v="0"/>
    <n v="14"/>
    <n v="2"/>
    <x v="0"/>
    <n v="1"/>
    <n v="500"/>
    <n v="3"/>
    <x v="0"/>
    <n v="87"/>
    <n v="3"/>
    <x v="0"/>
    <s v="Sales Executive"/>
    <n v="4"/>
    <s v="Married"/>
    <x v="365"/>
    <n v="14862"/>
    <n v="4"/>
    <s v="Y"/>
    <x v="1"/>
    <n v="11"/>
    <n v="3"/>
    <n v="3"/>
    <x v="0"/>
    <n v="1"/>
    <n v="18"/>
    <n v="2"/>
    <n v="2"/>
    <n v="7"/>
    <n v="7"/>
    <x v="0"/>
    <n v="7"/>
  </r>
  <r>
    <n v="36"/>
    <x v="1"/>
    <x v="0"/>
    <n v="329"/>
    <x v="1"/>
    <n v="2"/>
    <n v="3"/>
    <x v="0"/>
    <n v="1"/>
    <n v="501"/>
    <n v="4"/>
    <x v="0"/>
    <n v="96"/>
    <n v="3"/>
    <x v="1"/>
    <s v="Research Scientist"/>
    <n v="3"/>
    <s v="Married"/>
    <x v="366"/>
    <n v="11868"/>
    <n v="4"/>
    <s v="Y"/>
    <x v="1"/>
    <n v="13"/>
    <n v="3"/>
    <n v="2"/>
    <x v="0"/>
    <n v="1"/>
    <n v="6"/>
    <n v="3"/>
    <n v="3"/>
    <n v="2"/>
    <n v="2"/>
    <x v="3"/>
    <n v="2"/>
  </r>
  <r>
    <n v="34"/>
    <x v="0"/>
    <x v="2"/>
    <n v="1362"/>
    <x v="0"/>
    <n v="19"/>
    <n v="3"/>
    <x v="3"/>
    <n v="1"/>
    <n v="502"/>
    <n v="1"/>
    <x v="1"/>
    <n v="67"/>
    <n v="4"/>
    <x v="0"/>
    <s v="Sales Executive"/>
    <n v="4"/>
    <s v="Single"/>
    <x v="367"/>
    <n v="4652"/>
    <n v="8"/>
    <s v="Y"/>
    <x v="0"/>
    <n v="13"/>
    <n v="3"/>
    <n v="2"/>
    <x v="0"/>
    <n v="0"/>
    <n v="9"/>
    <n v="3"/>
    <n v="2"/>
    <n v="5"/>
    <n v="2"/>
    <x v="0"/>
    <n v="4"/>
  </r>
  <r>
    <n v="55"/>
    <x v="1"/>
    <x v="0"/>
    <n v="1311"/>
    <x v="1"/>
    <n v="2"/>
    <n v="3"/>
    <x v="0"/>
    <n v="1"/>
    <n v="505"/>
    <n v="3"/>
    <x v="0"/>
    <n v="97"/>
    <n v="3"/>
    <x v="3"/>
    <s v="Manager"/>
    <n v="4"/>
    <s v="Single"/>
    <x v="368"/>
    <n v="23258"/>
    <n v="2"/>
    <s v="Y"/>
    <x v="0"/>
    <n v="13"/>
    <n v="3"/>
    <n v="3"/>
    <x v="0"/>
    <n v="0"/>
    <n v="30"/>
    <n v="2"/>
    <n v="3"/>
    <n v="5"/>
    <n v="4"/>
    <x v="1"/>
    <n v="2"/>
  </r>
  <r>
    <n v="24"/>
    <x v="1"/>
    <x v="0"/>
    <n v="1371"/>
    <x v="0"/>
    <n v="10"/>
    <n v="4"/>
    <x v="3"/>
    <n v="1"/>
    <n v="507"/>
    <n v="4"/>
    <x v="0"/>
    <n v="77"/>
    <n v="3"/>
    <x v="0"/>
    <s v="Sales Executive"/>
    <n v="3"/>
    <s v="Divorced"/>
    <x v="369"/>
    <n v="5915"/>
    <n v="1"/>
    <s v="Y"/>
    <x v="0"/>
    <n v="12"/>
    <n v="3"/>
    <n v="4"/>
    <x v="0"/>
    <n v="1"/>
    <n v="5"/>
    <n v="2"/>
    <n v="4"/>
    <n v="5"/>
    <n v="2"/>
    <x v="0"/>
    <n v="3"/>
  </r>
  <r>
    <n v="30"/>
    <x v="1"/>
    <x v="0"/>
    <n v="202"/>
    <x v="0"/>
    <n v="2"/>
    <n v="1"/>
    <x v="4"/>
    <n v="1"/>
    <n v="508"/>
    <n v="3"/>
    <x v="1"/>
    <n v="72"/>
    <n v="3"/>
    <x v="1"/>
    <s v="Sales Representative"/>
    <n v="2"/>
    <s v="Married"/>
    <x v="370"/>
    <n v="17434"/>
    <n v="1"/>
    <s v="Y"/>
    <x v="1"/>
    <n v="18"/>
    <n v="3"/>
    <n v="1"/>
    <x v="0"/>
    <n v="1"/>
    <n v="1"/>
    <n v="3"/>
    <n v="3"/>
    <n v="1"/>
    <n v="0"/>
    <x v="0"/>
    <n v="0"/>
  </r>
  <r>
    <n v="26"/>
    <x v="0"/>
    <x v="1"/>
    <n v="575"/>
    <x v="1"/>
    <n v="3"/>
    <n v="1"/>
    <x v="4"/>
    <n v="1"/>
    <n v="510"/>
    <n v="3"/>
    <x v="1"/>
    <n v="73"/>
    <n v="3"/>
    <x v="1"/>
    <s v="Research Scientist"/>
    <n v="1"/>
    <s v="Single"/>
    <x v="371"/>
    <n v="6582"/>
    <n v="0"/>
    <s v="Y"/>
    <x v="1"/>
    <n v="22"/>
    <n v="4"/>
    <n v="3"/>
    <x v="0"/>
    <n v="0"/>
    <n v="7"/>
    <n v="2"/>
    <n v="3"/>
    <n v="6"/>
    <n v="4"/>
    <x v="0"/>
    <n v="4"/>
  </r>
  <r>
    <n v="22"/>
    <x v="1"/>
    <x v="0"/>
    <n v="253"/>
    <x v="1"/>
    <n v="11"/>
    <n v="3"/>
    <x v="2"/>
    <n v="1"/>
    <n v="511"/>
    <n v="1"/>
    <x v="0"/>
    <n v="43"/>
    <n v="3"/>
    <x v="1"/>
    <s v="Research Scientist"/>
    <n v="2"/>
    <s v="Married"/>
    <x v="372"/>
    <n v="24440"/>
    <n v="1"/>
    <s v="Y"/>
    <x v="1"/>
    <n v="13"/>
    <n v="3"/>
    <n v="4"/>
    <x v="0"/>
    <n v="1"/>
    <n v="2"/>
    <n v="1"/>
    <n v="3"/>
    <n v="2"/>
    <n v="1"/>
    <x v="1"/>
    <n v="2"/>
  </r>
  <r>
    <n v="36"/>
    <x v="1"/>
    <x v="0"/>
    <n v="164"/>
    <x v="0"/>
    <n v="2"/>
    <n v="2"/>
    <x v="2"/>
    <n v="1"/>
    <n v="513"/>
    <n v="2"/>
    <x v="1"/>
    <n v="61"/>
    <n v="2"/>
    <x v="2"/>
    <s v="Sales Executive"/>
    <n v="3"/>
    <s v="Married"/>
    <x v="373"/>
    <n v="3809"/>
    <n v="1"/>
    <s v="Y"/>
    <x v="1"/>
    <n v="13"/>
    <n v="3"/>
    <n v="2"/>
    <x v="0"/>
    <n v="2"/>
    <n v="10"/>
    <n v="2"/>
    <n v="3"/>
    <n v="10"/>
    <n v="9"/>
    <x v="10"/>
    <n v="0"/>
  </r>
  <r>
    <n v="30"/>
    <x v="0"/>
    <x v="1"/>
    <n v="464"/>
    <x v="1"/>
    <n v="4"/>
    <n v="3"/>
    <x v="4"/>
    <n v="1"/>
    <n v="514"/>
    <n v="3"/>
    <x v="1"/>
    <n v="40"/>
    <n v="3"/>
    <x v="1"/>
    <s v="Research Scientist"/>
    <n v="4"/>
    <s v="Single"/>
    <x v="374"/>
    <n v="3427"/>
    <n v="9"/>
    <s v="Y"/>
    <x v="0"/>
    <n v="23"/>
    <n v="4"/>
    <n v="3"/>
    <x v="0"/>
    <n v="0"/>
    <n v="3"/>
    <n v="4"/>
    <n v="3"/>
    <n v="1"/>
    <n v="0"/>
    <x v="0"/>
    <n v="0"/>
  </r>
  <r>
    <n v="37"/>
    <x v="1"/>
    <x v="0"/>
    <n v="1107"/>
    <x v="1"/>
    <n v="14"/>
    <n v="3"/>
    <x v="0"/>
    <n v="1"/>
    <n v="515"/>
    <n v="4"/>
    <x v="0"/>
    <n v="95"/>
    <n v="3"/>
    <x v="1"/>
    <s v="Laboratory Technician"/>
    <n v="1"/>
    <s v="Divorced"/>
    <x v="375"/>
    <n v="26914"/>
    <n v="1"/>
    <s v="Y"/>
    <x v="1"/>
    <n v="12"/>
    <n v="3"/>
    <n v="3"/>
    <x v="0"/>
    <n v="1"/>
    <n v="18"/>
    <n v="2"/>
    <n v="2"/>
    <n v="18"/>
    <n v="7"/>
    <x v="12"/>
    <n v="17"/>
  </r>
  <r>
    <n v="40"/>
    <x v="1"/>
    <x v="0"/>
    <n v="759"/>
    <x v="0"/>
    <n v="2"/>
    <n v="2"/>
    <x v="3"/>
    <n v="1"/>
    <n v="516"/>
    <n v="4"/>
    <x v="0"/>
    <n v="46"/>
    <n v="3"/>
    <x v="0"/>
    <s v="Sales Executive"/>
    <n v="2"/>
    <s v="Divorced"/>
    <x v="376"/>
    <n v="22553"/>
    <n v="7"/>
    <s v="Y"/>
    <x v="1"/>
    <n v="12"/>
    <n v="3"/>
    <n v="3"/>
    <x v="0"/>
    <n v="2"/>
    <n v="8"/>
    <n v="5"/>
    <n v="3"/>
    <n v="5"/>
    <n v="4"/>
    <x v="1"/>
    <n v="3"/>
  </r>
  <r>
    <n v="42"/>
    <x v="1"/>
    <x v="0"/>
    <n v="201"/>
    <x v="1"/>
    <n v="1"/>
    <n v="4"/>
    <x v="0"/>
    <n v="1"/>
    <n v="517"/>
    <n v="2"/>
    <x v="0"/>
    <n v="95"/>
    <n v="3"/>
    <x v="1"/>
    <s v="Laboratory Technician"/>
    <n v="1"/>
    <s v="Divorced"/>
    <x v="377"/>
    <n v="20490"/>
    <n v="3"/>
    <s v="Y"/>
    <x v="1"/>
    <n v="16"/>
    <n v="3"/>
    <n v="2"/>
    <x v="0"/>
    <n v="1"/>
    <n v="8"/>
    <n v="5"/>
    <n v="3"/>
    <n v="5"/>
    <n v="2"/>
    <x v="1"/>
    <n v="2"/>
  </r>
  <r>
    <n v="37"/>
    <x v="1"/>
    <x v="0"/>
    <n v="1305"/>
    <x v="1"/>
    <n v="10"/>
    <n v="4"/>
    <x v="0"/>
    <n v="1"/>
    <n v="518"/>
    <n v="3"/>
    <x v="1"/>
    <n v="49"/>
    <n v="3"/>
    <x v="0"/>
    <s v="Manufacturing Director"/>
    <n v="2"/>
    <s v="Single"/>
    <x v="378"/>
    <n v="21123"/>
    <n v="2"/>
    <s v="Y"/>
    <x v="0"/>
    <n v="12"/>
    <n v="3"/>
    <n v="4"/>
    <x v="0"/>
    <n v="0"/>
    <n v="18"/>
    <n v="2"/>
    <n v="2"/>
    <n v="1"/>
    <n v="0"/>
    <x v="0"/>
    <n v="1"/>
  </r>
  <r>
    <n v="43"/>
    <x v="1"/>
    <x v="0"/>
    <n v="982"/>
    <x v="1"/>
    <n v="12"/>
    <n v="3"/>
    <x v="0"/>
    <n v="1"/>
    <n v="520"/>
    <n v="1"/>
    <x v="1"/>
    <n v="59"/>
    <n v="2"/>
    <x v="3"/>
    <s v="Research Director"/>
    <n v="2"/>
    <s v="Divorced"/>
    <x v="379"/>
    <n v="4345"/>
    <n v="1"/>
    <s v="Y"/>
    <x v="1"/>
    <n v="11"/>
    <n v="3"/>
    <n v="3"/>
    <x v="0"/>
    <n v="1"/>
    <n v="25"/>
    <n v="3"/>
    <n v="3"/>
    <n v="25"/>
    <n v="10"/>
    <x v="2"/>
    <n v="9"/>
  </r>
  <r>
    <n v="40"/>
    <x v="1"/>
    <x v="0"/>
    <n v="555"/>
    <x v="1"/>
    <n v="2"/>
    <n v="3"/>
    <x v="2"/>
    <n v="1"/>
    <n v="521"/>
    <n v="2"/>
    <x v="0"/>
    <n v="78"/>
    <n v="2"/>
    <x v="0"/>
    <s v="Laboratory Technician"/>
    <n v="3"/>
    <s v="Married"/>
    <x v="380"/>
    <n v="13436"/>
    <n v="6"/>
    <s v="Y"/>
    <x v="1"/>
    <n v="22"/>
    <n v="4"/>
    <n v="2"/>
    <x v="0"/>
    <n v="1"/>
    <n v="20"/>
    <n v="3"/>
    <n v="3"/>
    <n v="1"/>
    <n v="0"/>
    <x v="0"/>
    <n v="0"/>
  </r>
  <r>
    <n v="54"/>
    <x v="1"/>
    <x v="0"/>
    <n v="821"/>
    <x v="1"/>
    <n v="5"/>
    <n v="2"/>
    <x v="2"/>
    <n v="1"/>
    <n v="522"/>
    <n v="1"/>
    <x v="1"/>
    <n v="86"/>
    <n v="3"/>
    <x v="4"/>
    <s v="Research Director"/>
    <n v="1"/>
    <s v="Married"/>
    <x v="381"/>
    <n v="8509"/>
    <n v="4"/>
    <s v="Y"/>
    <x v="1"/>
    <n v="11"/>
    <n v="3"/>
    <n v="3"/>
    <x v="0"/>
    <n v="1"/>
    <n v="24"/>
    <n v="4"/>
    <n v="2"/>
    <n v="4"/>
    <n v="2"/>
    <x v="1"/>
    <n v="2"/>
  </r>
  <r>
    <n v="34"/>
    <x v="1"/>
    <x v="2"/>
    <n v="1381"/>
    <x v="0"/>
    <n v="4"/>
    <n v="4"/>
    <x v="3"/>
    <n v="1"/>
    <n v="523"/>
    <n v="3"/>
    <x v="0"/>
    <n v="72"/>
    <n v="3"/>
    <x v="0"/>
    <s v="Sales Executive"/>
    <n v="3"/>
    <s v="Married"/>
    <x v="382"/>
    <n v="12740"/>
    <n v="9"/>
    <s v="Y"/>
    <x v="1"/>
    <n v="15"/>
    <n v="3"/>
    <n v="1"/>
    <x v="0"/>
    <n v="1"/>
    <n v="6"/>
    <n v="3"/>
    <n v="3"/>
    <n v="3"/>
    <n v="2"/>
    <x v="1"/>
    <n v="2"/>
  </r>
  <r>
    <n v="31"/>
    <x v="1"/>
    <x v="0"/>
    <n v="480"/>
    <x v="1"/>
    <n v="7"/>
    <n v="2"/>
    <x v="2"/>
    <n v="1"/>
    <n v="524"/>
    <n v="2"/>
    <x v="0"/>
    <n v="31"/>
    <n v="3"/>
    <x v="0"/>
    <s v="Manufacturing Director"/>
    <n v="1"/>
    <s v="Married"/>
    <x v="383"/>
    <n v="4156"/>
    <n v="1"/>
    <s v="Y"/>
    <x v="1"/>
    <n v="12"/>
    <n v="3"/>
    <n v="2"/>
    <x v="0"/>
    <n v="1"/>
    <n v="13"/>
    <n v="5"/>
    <n v="1"/>
    <n v="13"/>
    <n v="10"/>
    <x v="2"/>
    <n v="12"/>
  </r>
  <r>
    <n v="43"/>
    <x v="1"/>
    <x v="1"/>
    <n v="313"/>
    <x v="1"/>
    <n v="21"/>
    <n v="3"/>
    <x v="2"/>
    <n v="1"/>
    <n v="525"/>
    <n v="4"/>
    <x v="1"/>
    <n v="61"/>
    <n v="3"/>
    <x v="1"/>
    <s v="Laboratory Technician"/>
    <n v="4"/>
    <s v="Married"/>
    <x v="384"/>
    <n v="15238"/>
    <n v="7"/>
    <s v="Y"/>
    <x v="1"/>
    <n v="20"/>
    <n v="4"/>
    <n v="1"/>
    <x v="0"/>
    <n v="1"/>
    <n v="8"/>
    <n v="1"/>
    <n v="3"/>
    <n v="3"/>
    <n v="2"/>
    <x v="1"/>
    <n v="2"/>
  </r>
  <r>
    <n v="43"/>
    <x v="1"/>
    <x v="0"/>
    <n v="1473"/>
    <x v="1"/>
    <n v="8"/>
    <n v="4"/>
    <x v="1"/>
    <n v="1"/>
    <n v="526"/>
    <n v="3"/>
    <x v="0"/>
    <n v="74"/>
    <n v="3"/>
    <x v="0"/>
    <s v="Healthcare Representative"/>
    <n v="3"/>
    <s v="Divorced"/>
    <x v="385"/>
    <n v="2227"/>
    <n v="4"/>
    <s v="Y"/>
    <x v="0"/>
    <n v="14"/>
    <n v="3"/>
    <n v="4"/>
    <x v="0"/>
    <n v="0"/>
    <n v="8"/>
    <n v="3"/>
    <n v="3"/>
    <n v="5"/>
    <n v="2"/>
    <x v="0"/>
    <n v="2"/>
  </r>
  <r>
    <n v="25"/>
    <x v="1"/>
    <x v="0"/>
    <n v="891"/>
    <x v="0"/>
    <n v="4"/>
    <n v="2"/>
    <x v="0"/>
    <n v="1"/>
    <n v="527"/>
    <n v="2"/>
    <x v="0"/>
    <n v="99"/>
    <n v="2"/>
    <x v="0"/>
    <s v="Sales Executive"/>
    <n v="4"/>
    <s v="Single"/>
    <x v="386"/>
    <n v="12090"/>
    <n v="1"/>
    <s v="Y"/>
    <x v="0"/>
    <n v="11"/>
    <n v="3"/>
    <n v="2"/>
    <x v="0"/>
    <n v="0"/>
    <n v="5"/>
    <n v="3"/>
    <n v="3"/>
    <n v="5"/>
    <n v="4"/>
    <x v="1"/>
    <n v="3"/>
  </r>
  <r>
    <n v="37"/>
    <x v="1"/>
    <x v="2"/>
    <n v="1063"/>
    <x v="1"/>
    <n v="25"/>
    <n v="5"/>
    <x v="2"/>
    <n v="1"/>
    <n v="529"/>
    <n v="2"/>
    <x v="0"/>
    <n v="72"/>
    <n v="3"/>
    <x v="0"/>
    <s v="Research Scientist"/>
    <n v="3"/>
    <s v="Married"/>
    <x v="387"/>
    <n v="23866"/>
    <n v="3"/>
    <s v="Y"/>
    <x v="0"/>
    <n v="15"/>
    <n v="3"/>
    <n v="1"/>
    <x v="0"/>
    <n v="2"/>
    <n v="15"/>
    <n v="2"/>
    <n v="3"/>
    <n v="13"/>
    <n v="11"/>
    <x v="13"/>
    <n v="7"/>
  </r>
  <r>
    <n v="31"/>
    <x v="1"/>
    <x v="0"/>
    <n v="329"/>
    <x v="1"/>
    <n v="1"/>
    <n v="2"/>
    <x v="0"/>
    <n v="1"/>
    <n v="530"/>
    <n v="4"/>
    <x v="1"/>
    <n v="98"/>
    <n v="2"/>
    <x v="1"/>
    <s v="Laboratory Technician"/>
    <n v="1"/>
    <s v="Married"/>
    <x v="388"/>
    <n v="16193"/>
    <n v="1"/>
    <s v="Y"/>
    <x v="1"/>
    <n v="12"/>
    <n v="3"/>
    <n v="3"/>
    <x v="0"/>
    <n v="1"/>
    <n v="4"/>
    <n v="3"/>
    <n v="3"/>
    <n v="4"/>
    <n v="2"/>
    <x v="2"/>
    <n v="2"/>
  </r>
  <r>
    <n v="39"/>
    <x v="1"/>
    <x v="1"/>
    <n v="1218"/>
    <x v="1"/>
    <n v="1"/>
    <n v="1"/>
    <x v="0"/>
    <n v="1"/>
    <n v="531"/>
    <n v="2"/>
    <x v="1"/>
    <n v="52"/>
    <n v="3"/>
    <x v="4"/>
    <s v="Manager"/>
    <n v="3"/>
    <s v="Divorced"/>
    <x v="389"/>
    <n v="8213"/>
    <n v="1"/>
    <s v="Y"/>
    <x v="0"/>
    <n v="14"/>
    <n v="3"/>
    <n v="3"/>
    <x v="0"/>
    <n v="1"/>
    <n v="21"/>
    <n v="3"/>
    <n v="3"/>
    <n v="21"/>
    <n v="8"/>
    <x v="1"/>
    <n v="6"/>
  </r>
  <r>
    <n v="56"/>
    <x v="1"/>
    <x v="1"/>
    <n v="906"/>
    <x v="0"/>
    <n v="6"/>
    <n v="3"/>
    <x v="0"/>
    <n v="1"/>
    <n v="532"/>
    <n v="3"/>
    <x v="0"/>
    <n v="86"/>
    <n v="4"/>
    <x v="3"/>
    <s v="Sales Executive"/>
    <n v="1"/>
    <s v="Married"/>
    <x v="390"/>
    <n v="18256"/>
    <n v="9"/>
    <s v="Y"/>
    <x v="1"/>
    <n v="11"/>
    <n v="3"/>
    <n v="4"/>
    <x v="0"/>
    <n v="3"/>
    <n v="36"/>
    <n v="0"/>
    <n v="2"/>
    <n v="7"/>
    <n v="7"/>
    <x v="4"/>
    <n v="7"/>
  </r>
  <r>
    <n v="30"/>
    <x v="1"/>
    <x v="0"/>
    <n v="1082"/>
    <x v="0"/>
    <n v="12"/>
    <n v="3"/>
    <x v="4"/>
    <n v="1"/>
    <n v="533"/>
    <n v="2"/>
    <x v="0"/>
    <n v="83"/>
    <n v="3"/>
    <x v="0"/>
    <s v="Sales Executive"/>
    <n v="3"/>
    <s v="Single"/>
    <x v="391"/>
    <n v="19558"/>
    <n v="0"/>
    <s v="Y"/>
    <x v="1"/>
    <n v="11"/>
    <n v="3"/>
    <n v="2"/>
    <x v="0"/>
    <n v="0"/>
    <n v="6"/>
    <n v="6"/>
    <n v="3"/>
    <n v="5"/>
    <n v="4"/>
    <x v="5"/>
    <n v="4"/>
  </r>
  <r>
    <n v="41"/>
    <x v="1"/>
    <x v="0"/>
    <n v="645"/>
    <x v="0"/>
    <n v="1"/>
    <n v="3"/>
    <x v="3"/>
    <n v="1"/>
    <n v="534"/>
    <n v="2"/>
    <x v="1"/>
    <n v="49"/>
    <n v="4"/>
    <x v="2"/>
    <s v="Sales Executive"/>
    <n v="1"/>
    <s v="Married"/>
    <x v="392"/>
    <n v="19566"/>
    <n v="1"/>
    <s v="Y"/>
    <x v="1"/>
    <n v="16"/>
    <n v="3"/>
    <n v="3"/>
    <x v="0"/>
    <n v="1"/>
    <n v="10"/>
    <n v="2"/>
    <n v="3"/>
    <n v="10"/>
    <n v="7"/>
    <x v="0"/>
    <n v="7"/>
  </r>
  <r>
    <n v="28"/>
    <x v="1"/>
    <x v="0"/>
    <n v="1300"/>
    <x v="1"/>
    <n v="17"/>
    <n v="2"/>
    <x v="2"/>
    <n v="1"/>
    <n v="536"/>
    <n v="3"/>
    <x v="1"/>
    <n v="79"/>
    <n v="3"/>
    <x v="0"/>
    <s v="Laboratory Technician"/>
    <n v="1"/>
    <s v="Divorced"/>
    <x v="393"/>
    <n v="13535"/>
    <n v="1"/>
    <s v="Y"/>
    <x v="1"/>
    <n v="12"/>
    <n v="3"/>
    <n v="4"/>
    <x v="0"/>
    <n v="1"/>
    <n v="10"/>
    <n v="2"/>
    <n v="3"/>
    <n v="10"/>
    <n v="0"/>
    <x v="1"/>
    <n v="8"/>
  </r>
  <r>
    <n v="25"/>
    <x v="0"/>
    <x v="0"/>
    <n v="688"/>
    <x v="1"/>
    <n v="3"/>
    <n v="3"/>
    <x v="2"/>
    <n v="1"/>
    <n v="538"/>
    <n v="1"/>
    <x v="1"/>
    <n v="91"/>
    <n v="3"/>
    <x v="1"/>
    <s v="Laboratory Technician"/>
    <n v="1"/>
    <s v="Married"/>
    <x v="394"/>
    <n v="9396"/>
    <n v="5"/>
    <s v="Y"/>
    <x v="1"/>
    <n v="13"/>
    <n v="3"/>
    <n v="3"/>
    <x v="0"/>
    <n v="1"/>
    <n v="6"/>
    <n v="5"/>
    <n v="3"/>
    <n v="2"/>
    <n v="2"/>
    <x v="0"/>
    <n v="2"/>
  </r>
  <r>
    <n v="52"/>
    <x v="1"/>
    <x v="0"/>
    <n v="319"/>
    <x v="1"/>
    <n v="3"/>
    <n v="3"/>
    <x v="2"/>
    <n v="1"/>
    <n v="543"/>
    <n v="4"/>
    <x v="1"/>
    <n v="39"/>
    <n v="2"/>
    <x v="2"/>
    <s v="Manufacturing Director"/>
    <n v="3"/>
    <s v="Married"/>
    <x v="395"/>
    <n v="19609"/>
    <n v="2"/>
    <s v="Y"/>
    <x v="0"/>
    <n v="14"/>
    <n v="3"/>
    <n v="3"/>
    <x v="0"/>
    <n v="0"/>
    <n v="28"/>
    <n v="4"/>
    <n v="3"/>
    <n v="5"/>
    <n v="4"/>
    <x v="0"/>
    <n v="4"/>
  </r>
  <r>
    <n v="45"/>
    <x v="1"/>
    <x v="0"/>
    <n v="192"/>
    <x v="1"/>
    <n v="10"/>
    <n v="2"/>
    <x v="0"/>
    <n v="1"/>
    <n v="544"/>
    <n v="1"/>
    <x v="1"/>
    <n v="69"/>
    <n v="3"/>
    <x v="1"/>
    <s v="Research Scientist"/>
    <n v="4"/>
    <s v="Married"/>
    <x v="396"/>
    <n v="9655"/>
    <n v="3"/>
    <s v="Y"/>
    <x v="1"/>
    <n v="21"/>
    <n v="4"/>
    <n v="4"/>
    <x v="0"/>
    <n v="2"/>
    <n v="8"/>
    <n v="3"/>
    <n v="2"/>
    <n v="2"/>
    <n v="2"/>
    <x v="0"/>
    <n v="2"/>
  </r>
  <r>
    <n v="52"/>
    <x v="1"/>
    <x v="0"/>
    <n v="1490"/>
    <x v="1"/>
    <n v="4"/>
    <n v="2"/>
    <x v="0"/>
    <n v="1"/>
    <n v="546"/>
    <n v="4"/>
    <x v="0"/>
    <n v="30"/>
    <n v="3"/>
    <x v="3"/>
    <s v="Manager"/>
    <n v="4"/>
    <s v="Married"/>
    <x v="397"/>
    <n v="10310"/>
    <n v="2"/>
    <s v="Y"/>
    <x v="1"/>
    <n v="13"/>
    <n v="3"/>
    <n v="4"/>
    <x v="0"/>
    <n v="0"/>
    <n v="31"/>
    <n v="2"/>
    <n v="1"/>
    <n v="5"/>
    <n v="2"/>
    <x v="1"/>
    <n v="4"/>
  </r>
  <r>
    <n v="42"/>
    <x v="1"/>
    <x v="1"/>
    <n v="532"/>
    <x v="1"/>
    <n v="29"/>
    <n v="2"/>
    <x v="0"/>
    <n v="1"/>
    <n v="547"/>
    <n v="1"/>
    <x v="0"/>
    <n v="92"/>
    <n v="3"/>
    <x v="0"/>
    <s v="Research Scientist"/>
    <n v="3"/>
    <s v="Divorced"/>
    <x v="398"/>
    <n v="12932"/>
    <n v="2"/>
    <s v="Y"/>
    <x v="1"/>
    <n v="11"/>
    <n v="3"/>
    <n v="2"/>
    <x v="0"/>
    <n v="1"/>
    <n v="19"/>
    <n v="3"/>
    <n v="3"/>
    <n v="5"/>
    <n v="4"/>
    <x v="0"/>
    <n v="2"/>
  </r>
  <r>
    <n v="30"/>
    <x v="1"/>
    <x v="0"/>
    <n v="317"/>
    <x v="1"/>
    <n v="2"/>
    <n v="3"/>
    <x v="0"/>
    <n v="1"/>
    <n v="548"/>
    <n v="3"/>
    <x v="0"/>
    <n v="43"/>
    <n v="1"/>
    <x v="0"/>
    <s v="Manufacturing Director"/>
    <n v="4"/>
    <s v="Single"/>
    <x v="399"/>
    <n v="24793"/>
    <n v="2"/>
    <s v="Y"/>
    <x v="1"/>
    <n v="20"/>
    <n v="4"/>
    <n v="3"/>
    <x v="0"/>
    <n v="0"/>
    <n v="11"/>
    <n v="2"/>
    <n v="3"/>
    <n v="5"/>
    <n v="4"/>
    <x v="0"/>
    <n v="2"/>
  </r>
  <r>
    <n v="60"/>
    <x v="1"/>
    <x v="0"/>
    <n v="422"/>
    <x v="1"/>
    <n v="7"/>
    <n v="3"/>
    <x v="0"/>
    <n v="1"/>
    <n v="549"/>
    <n v="1"/>
    <x v="0"/>
    <n v="41"/>
    <n v="3"/>
    <x v="4"/>
    <s v="Manager"/>
    <n v="1"/>
    <s v="Married"/>
    <x v="400"/>
    <n v="3854"/>
    <n v="5"/>
    <s v="Y"/>
    <x v="1"/>
    <n v="11"/>
    <n v="3"/>
    <n v="4"/>
    <x v="0"/>
    <n v="0"/>
    <n v="33"/>
    <n v="5"/>
    <n v="1"/>
    <n v="29"/>
    <n v="8"/>
    <x v="14"/>
    <n v="10"/>
  </r>
  <r>
    <n v="46"/>
    <x v="1"/>
    <x v="0"/>
    <n v="1485"/>
    <x v="1"/>
    <n v="18"/>
    <n v="3"/>
    <x v="2"/>
    <n v="1"/>
    <n v="550"/>
    <n v="3"/>
    <x v="0"/>
    <n v="87"/>
    <n v="3"/>
    <x v="0"/>
    <s v="Manufacturing Director"/>
    <n v="3"/>
    <s v="Divorced"/>
    <x v="401"/>
    <n v="26314"/>
    <n v="2"/>
    <s v="Y"/>
    <x v="1"/>
    <n v="14"/>
    <n v="3"/>
    <n v="3"/>
    <x v="0"/>
    <n v="1"/>
    <n v="19"/>
    <n v="5"/>
    <n v="2"/>
    <n v="10"/>
    <n v="7"/>
    <x v="0"/>
    <n v="8"/>
  </r>
  <r>
    <n v="42"/>
    <x v="1"/>
    <x v="1"/>
    <n v="1368"/>
    <x v="1"/>
    <n v="28"/>
    <n v="4"/>
    <x v="4"/>
    <n v="1"/>
    <n v="551"/>
    <n v="4"/>
    <x v="0"/>
    <n v="88"/>
    <n v="2"/>
    <x v="0"/>
    <s v="Healthcare Representative"/>
    <n v="4"/>
    <s v="Married"/>
    <x v="402"/>
    <n v="4386"/>
    <n v="0"/>
    <s v="Y"/>
    <x v="1"/>
    <n v="11"/>
    <n v="3"/>
    <n v="4"/>
    <x v="0"/>
    <n v="3"/>
    <n v="7"/>
    <n v="4"/>
    <n v="4"/>
    <n v="6"/>
    <n v="5"/>
    <x v="0"/>
    <n v="4"/>
  </r>
  <r>
    <n v="24"/>
    <x v="0"/>
    <x v="0"/>
    <n v="1448"/>
    <x v="0"/>
    <n v="1"/>
    <n v="1"/>
    <x v="4"/>
    <n v="1"/>
    <n v="554"/>
    <n v="1"/>
    <x v="0"/>
    <n v="62"/>
    <n v="3"/>
    <x v="1"/>
    <s v="Sales Representative"/>
    <n v="2"/>
    <s v="Single"/>
    <x v="403"/>
    <n v="21972"/>
    <n v="1"/>
    <s v="Y"/>
    <x v="0"/>
    <n v="16"/>
    <n v="3"/>
    <n v="2"/>
    <x v="0"/>
    <n v="0"/>
    <n v="6"/>
    <n v="4"/>
    <n v="3"/>
    <n v="5"/>
    <n v="3"/>
    <x v="1"/>
    <n v="4"/>
  </r>
  <r>
    <n v="34"/>
    <x v="0"/>
    <x v="1"/>
    <n v="296"/>
    <x v="0"/>
    <n v="6"/>
    <n v="2"/>
    <x v="3"/>
    <n v="1"/>
    <n v="555"/>
    <n v="4"/>
    <x v="0"/>
    <n v="33"/>
    <n v="1"/>
    <x v="1"/>
    <s v="Sales Representative"/>
    <n v="3"/>
    <s v="Divorced"/>
    <x v="404"/>
    <n v="12253"/>
    <n v="0"/>
    <s v="Y"/>
    <x v="1"/>
    <n v="16"/>
    <n v="3"/>
    <n v="4"/>
    <x v="0"/>
    <n v="1"/>
    <n v="3"/>
    <n v="3"/>
    <n v="2"/>
    <n v="2"/>
    <n v="2"/>
    <x v="1"/>
    <n v="0"/>
  </r>
  <r>
    <n v="38"/>
    <x v="1"/>
    <x v="1"/>
    <n v="1490"/>
    <x v="1"/>
    <n v="2"/>
    <n v="2"/>
    <x v="0"/>
    <n v="1"/>
    <n v="556"/>
    <n v="4"/>
    <x v="1"/>
    <n v="42"/>
    <n v="3"/>
    <x v="1"/>
    <s v="Laboratory Technician"/>
    <n v="4"/>
    <s v="Married"/>
    <x v="405"/>
    <n v="12106"/>
    <n v="1"/>
    <s v="Y"/>
    <x v="0"/>
    <n v="23"/>
    <n v="4"/>
    <n v="3"/>
    <x v="0"/>
    <n v="1"/>
    <n v="1"/>
    <n v="3"/>
    <n v="3"/>
    <n v="1"/>
    <n v="0"/>
    <x v="0"/>
    <n v="0"/>
  </r>
  <r>
    <n v="40"/>
    <x v="1"/>
    <x v="0"/>
    <n v="1398"/>
    <x v="0"/>
    <n v="2"/>
    <n v="4"/>
    <x v="0"/>
    <n v="1"/>
    <n v="558"/>
    <n v="3"/>
    <x v="0"/>
    <n v="79"/>
    <n v="3"/>
    <x v="4"/>
    <s v="Manager"/>
    <n v="3"/>
    <s v="Married"/>
    <x v="406"/>
    <n v="13022"/>
    <n v="0"/>
    <s v="Y"/>
    <x v="1"/>
    <n v="14"/>
    <n v="3"/>
    <n v="4"/>
    <x v="0"/>
    <n v="0"/>
    <n v="21"/>
    <n v="2"/>
    <n v="3"/>
    <n v="20"/>
    <n v="15"/>
    <x v="1"/>
    <n v="12"/>
  </r>
  <r>
    <n v="26"/>
    <x v="1"/>
    <x v="0"/>
    <n v="1349"/>
    <x v="1"/>
    <n v="23"/>
    <n v="3"/>
    <x v="0"/>
    <n v="1"/>
    <n v="560"/>
    <n v="1"/>
    <x v="0"/>
    <n v="90"/>
    <n v="3"/>
    <x v="1"/>
    <s v="Research Scientist"/>
    <n v="4"/>
    <s v="Divorced"/>
    <x v="407"/>
    <n v="3032"/>
    <n v="1"/>
    <s v="Y"/>
    <x v="1"/>
    <n v="22"/>
    <n v="4"/>
    <n v="2"/>
    <x v="0"/>
    <n v="2"/>
    <n v="3"/>
    <n v="3"/>
    <n v="1"/>
    <n v="3"/>
    <n v="2"/>
    <x v="0"/>
    <n v="2"/>
  </r>
  <r>
    <n v="30"/>
    <x v="1"/>
    <x v="2"/>
    <n v="1400"/>
    <x v="1"/>
    <n v="3"/>
    <n v="3"/>
    <x v="0"/>
    <n v="1"/>
    <n v="562"/>
    <n v="3"/>
    <x v="1"/>
    <n v="53"/>
    <n v="3"/>
    <x v="1"/>
    <s v="Laboratory Technician"/>
    <n v="4"/>
    <s v="Married"/>
    <x v="408"/>
    <n v="16734"/>
    <n v="4"/>
    <s v="Y"/>
    <x v="1"/>
    <n v="15"/>
    <n v="3"/>
    <n v="3"/>
    <x v="0"/>
    <n v="1"/>
    <n v="9"/>
    <n v="3"/>
    <n v="1"/>
    <n v="5"/>
    <n v="3"/>
    <x v="1"/>
    <n v="4"/>
  </r>
  <r>
    <n v="29"/>
    <x v="1"/>
    <x v="0"/>
    <n v="986"/>
    <x v="1"/>
    <n v="3"/>
    <n v="4"/>
    <x v="2"/>
    <n v="1"/>
    <n v="564"/>
    <n v="2"/>
    <x v="1"/>
    <n v="93"/>
    <n v="2"/>
    <x v="2"/>
    <s v="Research Director"/>
    <n v="3"/>
    <s v="Married"/>
    <x v="409"/>
    <n v="21526"/>
    <n v="1"/>
    <s v="Y"/>
    <x v="1"/>
    <n v="18"/>
    <n v="3"/>
    <n v="3"/>
    <x v="0"/>
    <n v="0"/>
    <n v="10"/>
    <n v="2"/>
    <n v="3"/>
    <n v="10"/>
    <n v="2"/>
    <x v="0"/>
    <n v="7"/>
  </r>
  <r>
    <n v="29"/>
    <x v="0"/>
    <x v="0"/>
    <n v="408"/>
    <x v="1"/>
    <n v="25"/>
    <n v="5"/>
    <x v="4"/>
    <n v="1"/>
    <n v="565"/>
    <n v="3"/>
    <x v="0"/>
    <n v="71"/>
    <n v="2"/>
    <x v="1"/>
    <s v="Research Scientist"/>
    <n v="2"/>
    <s v="Married"/>
    <x v="410"/>
    <n v="18300"/>
    <n v="5"/>
    <s v="Y"/>
    <x v="1"/>
    <n v="16"/>
    <n v="3"/>
    <n v="2"/>
    <x v="0"/>
    <n v="0"/>
    <n v="6"/>
    <n v="2"/>
    <n v="4"/>
    <n v="2"/>
    <n v="2"/>
    <x v="1"/>
    <n v="1"/>
  </r>
  <r>
    <n v="19"/>
    <x v="0"/>
    <x v="0"/>
    <n v="489"/>
    <x v="2"/>
    <n v="2"/>
    <n v="2"/>
    <x v="4"/>
    <n v="1"/>
    <n v="566"/>
    <n v="1"/>
    <x v="1"/>
    <n v="52"/>
    <n v="2"/>
    <x v="1"/>
    <s v="Human Resources"/>
    <n v="4"/>
    <s v="Single"/>
    <x v="411"/>
    <n v="18437"/>
    <n v="1"/>
    <s v="Y"/>
    <x v="1"/>
    <n v="12"/>
    <n v="3"/>
    <n v="3"/>
    <x v="0"/>
    <n v="0"/>
    <n v="1"/>
    <n v="3"/>
    <n v="4"/>
    <n v="1"/>
    <n v="0"/>
    <x v="0"/>
    <n v="0"/>
  </r>
  <r>
    <n v="30"/>
    <x v="1"/>
    <x v="2"/>
    <n v="1398"/>
    <x v="0"/>
    <n v="22"/>
    <n v="4"/>
    <x v="1"/>
    <n v="1"/>
    <n v="567"/>
    <n v="3"/>
    <x v="0"/>
    <n v="69"/>
    <n v="3"/>
    <x v="2"/>
    <s v="Sales Executive"/>
    <n v="1"/>
    <s v="Married"/>
    <x v="412"/>
    <n v="2890"/>
    <n v="0"/>
    <s v="Y"/>
    <x v="1"/>
    <n v="11"/>
    <n v="3"/>
    <n v="3"/>
    <x v="0"/>
    <n v="0"/>
    <n v="10"/>
    <n v="3"/>
    <n v="3"/>
    <n v="9"/>
    <n v="8"/>
    <x v="4"/>
    <n v="8"/>
  </r>
  <r>
    <n v="57"/>
    <x v="1"/>
    <x v="0"/>
    <n v="210"/>
    <x v="0"/>
    <n v="29"/>
    <n v="3"/>
    <x v="3"/>
    <n v="1"/>
    <n v="568"/>
    <n v="1"/>
    <x v="1"/>
    <n v="56"/>
    <n v="2"/>
    <x v="3"/>
    <s v="Manager"/>
    <n v="4"/>
    <s v="Divorced"/>
    <x v="413"/>
    <n v="22102"/>
    <n v="3"/>
    <s v="Y"/>
    <x v="1"/>
    <n v="12"/>
    <n v="3"/>
    <n v="3"/>
    <x v="0"/>
    <n v="1"/>
    <n v="32"/>
    <n v="3"/>
    <n v="2"/>
    <n v="1"/>
    <n v="0"/>
    <x v="0"/>
    <n v="0"/>
  </r>
  <r>
    <n v="50"/>
    <x v="1"/>
    <x v="0"/>
    <n v="1099"/>
    <x v="1"/>
    <n v="29"/>
    <n v="4"/>
    <x v="0"/>
    <n v="1"/>
    <n v="569"/>
    <n v="2"/>
    <x v="1"/>
    <n v="88"/>
    <n v="2"/>
    <x v="3"/>
    <s v="Manager"/>
    <n v="3"/>
    <s v="Married"/>
    <x v="414"/>
    <n v="9314"/>
    <n v="0"/>
    <s v="Y"/>
    <x v="1"/>
    <n v="15"/>
    <n v="3"/>
    <n v="2"/>
    <x v="0"/>
    <n v="1"/>
    <n v="28"/>
    <n v="2"/>
    <n v="3"/>
    <n v="27"/>
    <n v="10"/>
    <x v="9"/>
    <n v="7"/>
  </r>
  <r>
    <n v="30"/>
    <x v="1"/>
    <x v="2"/>
    <n v="1116"/>
    <x v="1"/>
    <n v="2"/>
    <n v="3"/>
    <x v="2"/>
    <n v="1"/>
    <n v="571"/>
    <n v="3"/>
    <x v="0"/>
    <n v="49"/>
    <n v="3"/>
    <x v="1"/>
    <s v="Laboratory Technician"/>
    <n v="4"/>
    <s v="Single"/>
    <x v="411"/>
    <n v="7181"/>
    <n v="0"/>
    <s v="Y"/>
    <x v="1"/>
    <n v="14"/>
    <n v="3"/>
    <n v="3"/>
    <x v="0"/>
    <n v="0"/>
    <n v="12"/>
    <n v="2"/>
    <n v="2"/>
    <n v="11"/>
    <n v="7"/>
    <x v="7"/>
    <n v="7"/>
  </r>
  <r>
    <n v="60"/>
    <x v="1"/>
    <x v="1"/>
    <n v="1499"/>
    <x v="0"/>
    <n v="28"/>
    <n v="3"/>
    <x v="3"/>
    <n v="1"/>
    <n v="573"/>
    <n v="3"/>
    <x v="0"/>
    <n v="80"/>
    <n v="2"/>
    <x v="2"/>
    <s v="Sales Executive"/>
    <n v="1"/>
    <s v="Married"/>
    <x v="415"/>
    <n v="2845"/>
    <n v="4"/>
    <s v="Y"/>
    <x v="1"/>
    <n v="19"/>
    <n v="3"/>
    <n v="4"/>
    <x v="0"/>
    <n v="0"/>
    <n v="22"/>
    <n v="5"/>
    <n v="4"/>
    <n v="18"/>
    <n v="13"/>
    <x v="11"/>
    <n v="11"/>
  </r>
  <r>
    <n v="47"/>
    <x v="1"/>
    <x v="0"/>
    <n v="983"/>
    <x v="1"/>
    <n v="2"/>
    <n v="2"/>
    <x v="2"/>
    <n v="1"/>
    <n v="574"/>
    <n v="1"/>
    <x v="0"/>
    <n v="65"/>
    <n v="3"/>
    <x v="0"/>
    <s v="Manufacturing Director"/>
    <n v="4"/>
    <s v="Divorced"/>
    <x v="416"/>
    <n v="7389"/>
    <n v="5"/>
    <s v="Y"/>
    <x v="1"/>
    <n v="13"/>
    <n v="3"/>
    <n v="3"/>
    <x v="0"/>
    <n v="3"/>
    <n v="20"/>
    <n v="2"/>
    <n v="3"/>
    <n v="5"/>
    <n v="0"/>
    <x v="0"/>
    <n v="4"/>
  </r>
  <r>
    <n v="46"/>
    <x v="1"/>
    <x v="0"/>
    <n v="1009"/>
    <x v="1"/>
    <n v="2"/>
    <n v="3"/>
    <x v="0"/>
    <n v="1"/>
    <n v="575"/>
    <n v="1"/>
    <x v="1"/>
    <n v="51"/>
    <n v="3"/>
    <x v="3"/>
    <s v="Research Director"/>
    <n v="3"/>
    <s v="Married"/>
    <x v="417"/>
    <n v="2288"/>
    <n v="6"/>
    <s v="Y"/>
    <x v="1"/>
    <n v="13"/>
    <n v="3"/>
    <n v="3"/>
    <x v="0"/>
    <n v="0"/>
    <n v="26"/>
    <n v="2"/>
    <n v="1"/>
    <n v="3"/>
    <n v="2"/>
    <x v="0"/>
    <n v="1"/>
  </r>
  <r>
    <n v="35"/>
    <x v="1"/>
    <x v="0"/>
    <n v="144"/>
    <x v="1"/>
    <n v="22"/>
    <n v="3"/>
    <x v="0"/>
    <n v="1"/>
    <n v="577"/>
    <n v="4"/>
    <x v="1"/>
    <n v="46"/>
    <n v="1"/>
    <x v="1"/>
    <s v="Laboratory Technician"/>
    <n v="3"/>
    <s v="Single"/>
    <x v="418"/>
    <n v="19225"/>
    <n v="0"/>
    <s v="Y"/>
    <x v="1"/>
    <n v="15"/>
    <n v="3"/>
    <n v="3"/>
    <x v="0"/>
    <n v="0"/>
    <n v="6"/>
    <n v="2"/>
    <n v="3"/>
    <n v="5"/>
    <n v="4"/>
    <x v="5"/>
    <n v="3"/>
  </r>
  <r>
    <n v="54"/>
    <x v="1"/>
    <x v="0"/>
    <n v="548"/>
    <x v="1"/>
    <n v="8"/>
    <n v="4"/>
    <x v="0"/>
    <n v="1"/>
    <n v="578"/>
    <n v="3"/>
    <x v="0"/>
    <n v="42"/>
    <n v="3"/>
    <x v="0"/>
    <s v="Laboratory Technician"/>
    <n v="3"/>
    <s v="Single"/>
    <x v="419"/>
    <n v="23428"/>
    <n v="7"/>
    <s v="Y"/>
    <x v="1"/>
    <n v="11"/>
    <n v="3"/>
    <n v="3"/>
    <x v="0"/>
    <n v="0"/>
    <n v="19"/>
    <n v="3"/>
    <n v="3"/>
    <n v="1"/>
    <n v="0"/>
    <x v="0"/>
    <n v="0"/>
  </r>
  <r>
    <n v="34"/>
    <x v="1"/>
    <x v="0"/>
    <n v="1303"/>
    <x v="1"/>
    <n v="2"/>
    <n v="4"/>
    <x v="0"/>
    <n v="1"/>
    <n v="579"/>
    <n v="4"/>
    <x v="1"/>
    <n v="62"/>
    <n v="2"/>
    <x v="1"/>
    <s v="Research Scientist"/>
    <n v="3"/>
    <s v="Divorced"/>
    <x v="420"/>
    <n v="8416"/>
    <n v="3"/>
    <s v="Y"/>
    <x v="1"/>
    <n v="12"/>
    <n v="3"/>
    <n v="3"/>
    <x v="0"/>
    <n v="1"/>
    <n v="14"/>
    <n v="3"/>
    <n v="3"/>
    <n v="7"/>
    <n v="3"/>
    <x v="8"/>
    <n v="7"/>
  </r>
  <r>
    <n v="46"/>
    <x v="1"/>
    <x v="0"/>
    <n v="1125"/>
    <x v="0"/>
    <n v="10"/>
    <n v="3"/>
    <x v="3"/>
    <n v="1"/>
    <n v="580"/>
    <n v="3"/>
    <x v="0"/>
    <n v="94"/>
    <n v="2"/>
    <x v="2"/>
    <s v="Sales Executive"/>
    <n v="4"/>
    <s v="Married"/>
    <x v="421"/>
    <n v="11563"/>
    <n v="2"/>
    <s v="Y"/>
    <x v="0"/>
    <n v="19"/>
    <n v="3"/>
    <n v="3"/>
    <x v="0"/>
    <n v="1"/>
    <n v="15"/>
    <n v="3"/>
    <n v="3"/>
    <n v="3"/>
    <n v="2"/>
    <x v="1"/>
    <n v="2"/>
  </r>
  <r>
    <n v="31"/>
    <x v="1"/>
    <x v="0"/>
    <n v="1274"/>
    <x v="1"/>
    <n v="9"/>
    <n v="1"/>
    <x v="0"/>
    <n v="1"/>
    <n v="581"/>
    <n v="3"/>
    <x v="1"/>
    <n v="33"/>
    <n v="3"/>
    <x v="2"/>
    <s v="Manufacturing Director"/>
    <n v="2"/>
    <s v="Divorced"/>
    <x v="422"/>
    <n v="14394"/>
    <n v="1"/>
    <s v="Y"/>
    <x v="1"/>
    <n v="25"/>
    <n v="4"/>
    <n v="4"/>
    <x v="0"/>
    <n v="1"/>
    <n v="13"/>
    <n v="6"/>
    <n v="4"/>
    <n v="13"/>
    <n v="8"/>
    <x v="0"/>
    <n v="8"/>
  </r>
  <r>
    <n v="33"/>
    <x v="0"/>
    <x v="0"/>
    <n v="1277"/>
    <x v="1"/>
    <n v="15"/>
    <n v="1"/>
    <x v="2"/>
    <n v="1"/>
    <n v="582"/>
    <n v="2"/>
    <x v="1"/>
    <n v="56"/>
    <n v="3"/>
    <x v="2"/>
    <s v="Manager"/>
    <n v="3"/>
    <s v="Married"/>
    <x v="423"/>
    <n v="24619"/>
    <n v="7"/>
    <s v="Y"/>
    <x v="0"/>
    <n v="12"/>
    <n v="3"/>
    <n v="4"/>
    <x v="0"/>
    <n v="0"/>
    <n v="15"/>
    <n v="2"/>
    <n v="4"/>
    <n v="7"/>
    <n v="6"/>
    <x v="4"/>
    <n v="7"/>
  </r>
  <r>
    <n v="33"/>
    <x v="0"/>
    <x v="0"/>
    <n v="587"/>
    <x v="1"/>
    <n v="10"/>
    <n v="1"/>
    <x v="2"/>
    <n v="1"/>
    <n v="584"/>
    <n v="1"/>
    <x v="1"/>
    <n v="38"/>
    <n v="1"/>
    <x v="1"/>
    <s v="Laboratory Technician"/>
    <n v="4"/>
    <s v="Divorced"/>
    <x v="424"/>
    <n v="6705"/>
    <n v="7"/>
    <s v="Y"/>
    <x v="1"/>
    <n v="13"/>
    <n v="3"/>
    <n v="1"/>
    <x v="0"/>
    <n v="3"/>
    <n v="8"/>
    <n v="2"/>
    <n v="3"/>
    <n v="4"/>
    <n v="3"/>
    <x v="1"/>
    <n v="3"/>
  </r>
  <r>
    <n v="30"/>
    <x v="1"/>
    <x v="0"/>
    <n v="413"/>
    <x v="0"/>
    <n v="7"/>
    <n v="1"/>
    <x v="3"/>
    <n v="1"/>
    <n v="585"/>
    <n v="4"/>
    <x v="1"/>
    <n v="57"/>
    <n v="3"/>
    <x v="1"/>
    <s v="Sales Representative"/>
    <n v="2"/>
    <s v="Single"/>
    <x v="425"/>
    <n v="18398"/>
    <n v="0"/>
    <s v="Y"/>
    <x v="1"/>
    <n v="14"/>
    <n v="3"/>
    <n v="1"/>
    <x v="0"/>
    <n v="0"/>
    <n v="4"/>
    <n v="3"/>
    <n v="3"/>
    <n v="3"/>
    <n v="2"/>
    <x v="1"/>
    <n v="2"/>
  </r>
  <r>
    <n v="35"/>
    <x v="1"/>
    <x v="0"/>
    <n v="1276"/>
    <x v="1"/>
    <n v="16"/>
    <n v="3"/>
    <x v="0"/>
    <n v="1"/>
    <n v="586"/>
    <n v="4"/>
    <x v="1"/>
    <n v="72"/>
    <n v="3"/>
    <x v="2"/>
    <s v="Healthcare Representative"/>
    <n v="3"/>
    <s v="Married"/>
    <x v="426"/>
    <n v="14295"/>
    <n v="4"/>
    <s v="Y"/>
    <x v="0"/>
    <n v="12"/>
    <n v="3"/>
    <n v="3"/>
    <x v="0"/>
    <n v="0"/>
    <n v="10"/>
    <n v="2"/>
    <n v="3"/>
    <n v="8"/>
    <n v="7"/>
    <x v="0"/>
    <n v="0"/>
  </r>
  <r>
    <n v="31"/>
    <x v="0"/>
    <x v="1"/>
    <n v="534"/>
    <x v="1"/>
    <n v="20"/>
    <n v="3"/>
    <x v="0"/>
    <n v="1"/>
    <n v="587"/>
    <n v="1"/>
    <x v="1"/>
    <n v="66"/>
    <n v="3"/>
    <x v="2"/>
    <s v="Healthcare Representative"/>
    <n v="3"/>
    <s v="Married"/>
    <x v="427"/>
    <n v="22908"/>
    <n v="3"/>
    <s v="Y"/>
    <x v="1"/>
    <n v="12"/>
    <n v="3"/>
    <n v="1"/>
    <x v="0"/>
    <n v="0"/>
    <n v="12"/>
    <n v="2"/>
    <n v="3"/>
    <n v="1"/>
    <n v="0"/>
    <x v="0"/>
    <n v="0"/>
  </r>
  <r>
    <n v="34"/>
    <x v="0"/>
    <x v="1"/>
    <n v="988"/>
    <x v="2"/>
    <n v="23"/>
    <n v="3"/>
    <x v="5"/>
    <n v="1"/>
    <n v="590"/>
    <n v="2"/>
    <x v="0"/>
    <n v="43"/>
    <n v="3"/>
    <x v="2"/>
    <s v="Human Resources"/>
    <n v="1"/>
    <s v="Divorced"/>
    <x v="428"/>
    <n v="11533"/>
    <n v="9"/>
    <s v="Y"/>
    <x v="0"/>
    <n v="15"/>
    <n v="3"/>
    <n v="3"/>
    <x v="0"/>
    <n v="3"/>
    <n v="11"/>
    <n v="2"/>
    <n v="3"/>
    <n v="3"/>
    <n v="2"/>
    <x v="0"/>
    <n v="2"/>
  </r>
  <r>
    <n v="42"/>
    <x v="1"/>
    <x v="1"/>
    <n v="1474"/>
    <x v="1"/>
    <n v="5"/>
    <n v="2"/>
    <x v="1"/>
    <n v="1"/>
    <n v="591"/>
    <n v="2"/>
    <x v="1"/>
    <n v="97"/>
    <n v="3"/>
    <x v="1"/>
    <s v="Laboratory Technician"/>
    <n v="3"/>
    <s v="Married"/>
    <x v="429"/>
    <n v="9260"/>
    <n v="4"/>
    <s v="Y"/>
    <x v="1"/>
    <n v="17"/>
    <n v="3"/>
    <n v="4"/>
    <x v="0"/>
    <n v="1"/>
    <n v="8"/>
    <n v="4"/>
    <n v="3"/>
    <n v="2"/>
    <n v="2"/>
    <x v="3"/>
    <n v="0"/>
  </r>
  <r>
    <n v="36"/>
    <x v="1"/>
    <x v="2"/>
    <n v="635"/>
    <x v="0"/>
    <n v="10"/>
    <n v="4"/>
    <x v="2"/>
    <n v="1"/>
    <n v="592"/>
    <n v="2"/>
    <x v="1"/>
    <n v="32"/>
    <n v="3"/>
    <x v="2"/>
    <s v="Sales Executive"/>
    <n v="4"/>
    <s v="Single"/>
    <x v="15"/>
    <n v="15318"/>
    <n v="1"/>
    <s v="Y"/>
    <x v="1"/>
    <n v="14"/>
    <n v="3"/>
    <n v="4"/>
    <x v="0"/>
    <n v="0"/>
    <n v="10"/>
    <n v="3"/>
    <n v="2"/>
    <n v="10"/>
    <n v="3"/>
    <x v="10"/>
    <n v="7"/>
  </r>
  <r>
    <n v="22"/>
    <x v="0"/>
    <x v="1"/>
    <n v="1368"/>
    <x v="1"/>
    <n v="4"/>
    <n v="1"/>
    <x v="4"/>
    <n v="1"/>
    <n v="593"/>
    <n v="3"/>
    <x v="1"/>
    <n v="99"/>
    <n v="2"/>
    <x v="1"/>
    <s v="Laboratory Technician"/>
    <n v="3"/>
    <s v="Single"/>
    <x v="430"/>
    <n v="9129"/>
    <n v="5"/>
    <s v="Y"/>
    <x v="1"/>
    <n v="16"/>
    <n v="3"/>
    <n v="3"/>
    <x v="0"/>
    <n v="0"/>
    <n v="4"/>
    <n v="3"/>
    <n v="3"/>
    <n v="2"/>
    <n v="2"/>
    <x v="1"/>
    <n v="2"/>
  </r>
  <r>
    <n v="48"/>
    <x v="1"/>
    <x v="0"/>
    <n v="163"/>
    <x v="0"/>
    <n v="2"/>
    <n v="5"/>
    <x v="3"/>
    <n v="1"/>
    <n v="595"/>
    <n v="2"/>
    <x v="0"/>
    <n v="37"/>
    <n v="3"/>
    <x v="0"/>
    <s v="Sales Executive"/>
    <n v="4"/>
    <s v="Married"/>
    <x v="431"/>
    <n v="19658"/>
    <n v="2"/>
    <s v="Y"/>
    <x v="1"/>
    <n v="14"/>
    <n v="3"/>
    <n v="1"/>
    <x v="0"/>
    <n v="1"/>
    <n v="14"/>
    <n v="2"/>
    <n v="3"/>
    <n v="9"/>
    <n v="7"/>
    <x v="7"/>
    <n v="7"/>
  </r>
  <r>
    <n v="55"/>
    <x v="1"/>
    <x v="0"/>
    <n v="1117"/>
    <x v="0"/>
    <n v="18"/>
    <n v="5"/>
    <x v="0"/>
    <n v="1"/>
    <n v="597"/>
    <n v="1"/>
    <x v="0"/>
    <n v="83"/>
    <n v="3"/>
    <x v="3"/>
    <s v="Manager"/>
    <n v="2"/>
    <s v="Single"/>
    <x v="432"/>
    <n v="9873"/>
    <n v="3"/>
    <s v="Y"/>
    <x v="1"/>
    <n v="23"/>
    <n v="4"/>
    <n v="4"/>
    <x v="0"/>
    <n v="0"/>
    <n v="37"/>
    <n v="2"/>
    <n v="3"/>
    <n v="10"/>
    <n v="9"/>
    <x v="4"/>
    <n v="7"/>
  </r>
  <r>
    <n v="41"/>
    <x v="1"/>
    <x v="2"/>
    <n v="267"/>
    <x v="0"/>
    <n v="10"/>
    <n v="2"/>
    <x v="0"/>
    <n v="1"/>
    <n v="599"/>
    <n v="4"/>
    <x v="1"/>
    <n v="56"/>
    <n v="3"/>
    <x v="0"/>
    <s v="Sales Executive"/>
    <n v="4"/>
    <s v="Single"/>
    <x v="433"/>
    <n v="13430"/>
    <n v="7"/>
    <s v="Y"/>
    <x v="1"/>
    <n v="14"/>
    <n v="3"/>
    <n v="4"/>
    <x v="0"/>
    <n v="0"/>
    <n v="16"/>
    <n v="3"/>
    <n v="3"/>
    <n v="14"/>
    <n v="3"/>
    <x v="1"/>
    <n v="10"/>
  </r>
  <r>
    <n v="35"/>
    <x v="1"/>
    <x v="0"/>
    <n v="619"/>
    <x v="0"/>
    <n v="1"/>
    <n v="3"/>
    <x v="3"/>
    <n v="1"/>
    <n v="600"/>
    <n v="2"/>
    <x v="1"/>
    <n v="85"/>
    <n v="3"/>
    <x v="0"/>
    <s v="Sales Executive"/>
    <n v="3"/>
    <s v="Married"/>
    <x v="434"/>
    <n v="18659"/>
    <n v="9"/>
    <s v="Y"/>
    <x v="1"/>
    <n v="11"/>
    <n v="3"/>
    <n v="3"/>
    <x v="0"/>
    <n v="0"/>
    <n v="15"/>
    <n v="2"/>
    <n v="3"/>
    <n v="11"/>
    <n v="9"/>
    <x v="7"/>
    <n v="9"/>
  </r>
  <r>
    <n v="40"/>
    <x v="1"/>
    <x v="0"/>
    <n v="302"/>
    <x v="1"/>
    <n v="6"/>
    <n v="3"/>
    <x v="0"/>
    <n v="1"/>
    <n v="601"/>
    <n v="2"/>
    <x v="0"/>
    <n v="75"/>
    <n v="3"/>
    <x v="3"/>
    <s v="Manufacturing Director"/>
    <n v="3"/>
    <s v="Single"/>
    <x v="435"/>
    <n v="20364"/>
    <n v="7"/>
    <s v="Y"/>
    <x v="1"/>
    <n v="15"/>
    <n v="3"/>
    <n v="3"/>
    <x v="0"/>
    <n v="0"/>
    <n v="22"/>
    <n v="3"/>
    <n v="3"/>
    <n v="20"/>
    <n v="6"/>
    <x v="8"/>
    <n v="13"/>
  </r>
  <r>
    <n v="39"/>
    <x v="1"/>
    <x v="1"/>
    <n v="443"/>
    <x v="1"/>
    <n v="8"/>
    <n v="1"/>
    <x v="0"/>
    <n v="1"/>
    <n v="602"/>
    <n v="3"/>
    <x v="0"/>
    <n v="48"/>
    <n v="3"/>
    <x v="1"/>
    <s v="Laboratory Technician"/>
    <n v="3"/>
    <s v="Married"/>
    <x v="436"/>
    <n v="17872"/>
    <n v="1"/>
    <s v="Y"/>
    <x v="1"/>
    <n v="11"/>
    <n v="3"/>
    <n v="1"/>
    <x v="0"/>
    <n v="1"/>
    <n v="8"/>
    <n v="3"/>
    <n v="3"/>
    <n v="8"/>
    <n v="3"/>
    <x v="0"/>
    <n v="7"/>
  </r>
  <r>
    <n v="31"/>
    <x v="1"/>
    <x v="0"/>
    <n v="828"/>
    <x v="0"/>
    <n v="2"/>
    <n v="1"/>
    <x v="0"/>
    <n v="1"/>
    <n v="604"/>
    <n v="2"/>
    <x v="1"/>
    <n v="77"/>
    <n v="3"/>
    <x v="0"/>
    <s v="Sales Executive"/>
    <n v="4"/>
    <s v="Single"/>
    <x v="437"/>
    <n v="8346"/>
    <n v="4"/>
    <s v="Y"/>
    <x v="0"/>
    <n v="13"/>
    <n v="3"/>
    <n v="3"/>
    <x v="0"/>
    <n v="0"/>
    <n v="10"/>
    <n v="2"/>
    <n v="4"/>
    <n v="6"/>
    <n v="5"/>
    <x v="0"/>
    <n v="5"/>
  </r>
  <r>
    <n v="42"/>
    <x v="1"/>
    <x v="0"/>
    <n v="319"/>
    <x v="1"/>
    <n v="24"/>
    <n v="3"/>
    <x v="2"/>
    <n v="1"/>
    <n v="605"/>
    <n v="4"/>
    <x v="1"/>
    <n v="56"/>
    <n v="3"/>
    <x v="2"/>
    <s v="Manufacturing Director"/>
    <n v="1"/>
    <s v="Married"/>
    <x v="438"/>
    <n v="6950"/>
    <n v="1"/>
    <s v="Y"/>
    <x v="0"/>
    <n v="21"/>
    <n v="4"/>
    <n v="4"/>
    <x v="0"/>
    <n v="1"/>
    <n v="10"/>
    <n v="5"/>
    <n v="2"/>
    <n v="10"/>
    <n v="9"/>
    <x v="8"/>
    <n v="8"/>
  </r>
  <r>
    <n v="45"/>
    <x v="1"/>
    <x v="0"/>
    <n v="561"/>
    <x v="0"/>
    <n v="2"/>
    <n v="3"/>
    <x v="1"/>
    <n v="1"/>
    <n v="606"/>
    <n v="4"/>
    <x v="1"/>
    <n v="61"/>
    <n v="3"/>
    <x v="0"/>
    <s v="Sales Executive"/>
    <n v="2"/>
    <s v="Married"/>
    <x v="439"/>
    <n v="16177"/>
    <n v="0"/>
    <s v="Y"/>
    <x v="1"/>
    <n v="19"/>
    <n v="3"/>
    <n v="2"/>
    <x v="0"/>
    <n v="1"/>
    <n v="9"/>
    <n v="3"/>
    <n v="4"/>
    <n v="8"/>
    <n v="7"/>
    <x v="2"/>
    <n v="7"/>
  </r>
  <r>
    <n v="26"/>
    <x v="0"/>
    <x v="1"/>
    <n v="426"/>
    <x v="2"/>
    <n v="17"/>
    <n v="4"/>
    <x v="0"/>
    <n v="1"/>
    <n v="608"/>
    <n v="2"/>
    <x v="0"/>
    <n v="58"/>
    <n v="3"/>
    <x v="1"/>
    <s v="Human Resources"/>
    <n v="3"/>
    <s v="Divorced"/>
    <x v="199"/>
    <n v="22808"/>
    <n v="0"/>
    <s v="Y"/>
    <x v="0"/>
    <n v="11"/>
    <n v="3"/>
    <n v="2"/>
    <x v="0"/>
    <n v="1"/>
    <n v="8"/>
    <n v="2"/>
    <n v="2"/>
    <n v="7"/>
    <n v="7"/>
    <x v="1"/>
    <n v="0"/>
  </r>
  <r>
    <n v="29"/>
    <x v="1"/>
    <x v="0"/>
    <n v="232"/>
    <x v="1"/>
    <n v="19"/>
    <n v="3"/>
    <x v="4"/>
    <n v="1"/>
    <n v="611"/>
    <n v="4"/>
    <x v="1"/>
    <n v="34"/>
    <n v="3"/>
    <x v="0"/>
    <s v="Manufacturing Director"/>
    <n v="4"/>
    <s v="Divorced"/>
    <x v="440"/>
    <n v="22645"/>
    <n v="4"/>
    <s v="Y"/>
    <x v="1"/>
    <n v="12"/>
    <n v="3"/>
    <n v="2"/>
    <x v="0"/>
    <n v="2"/>
    <n v="8"/>
    <n v="2"/>
    <n v="4"/>
    <n v="3"/>
    <n v="2"/>
    <x v="1"/>
    <n v="2"/>
  </r>
  <r>
    <n v="33"/>
    <x v="1"/>
    <x v="0"/>
    <n v="922"/>
    <x v="1"/>
    <n v="1"/>
    <n v="5"/>
    <x v="2"/>
    <n v="1"/>
    <n v="612"/>
    <n v="1"/>
    <x v="0"/>
    <n v="95"/>
    <n v="4"/>
    <x v="3"/>
    <s v="Research Director"/>
    <n v="3"/>
    <s v="Divorced"/>
    <x v="441"/>
    <n v="22578"/>
    <n v="4"/>
    <s v="Y"/>
    <x v="1"/>
    <n v="19"/>
    <n v="3"/>
    <n v="3"/>
    <x v="0"/>
    <n v="1"/>
    <n v="10"/>
    <n v="2"/>
    <n v="3"/>
    <n v="6"/>
    <n v="1"/>
    <x v="0"/>
    <n v="5"/>
  </r>
  <r>
    <n v="31"/>
    <x v="1"/>
    <x v="0"/>
    <n v="688"/>
    <x v="0"/>
    <n v="7"/>
    <n v="3"/>
    <x v="0"/>
    <n v="1"/>
    <n v="613"/>
    <n v="3"/>
    <x v="1"/>
    <n v="44"/>
    <n v="2"/>
    <x v="2"/>
    <s v="Manager"/>
    <n v="4"/>
    <s v="Divorced"/>
    <x v="442"/>
    <n v="25291"/>
    <n v="9"/>
    <s v="Y"/>
    <x v="1"/>
    <n v="21"/>
    <n v="4"/>
    <n v="3"/>
    <x v="0"/>
    <n v="1"/>
    <n v="10"/>
    <n v="3"/>
    <n v="2"/>
    <n v="5"/>
    <n v="4"/>
    <x v="0"/>
    <n v="1"/>
  </r>
  <r>
    <n v="18"/>
    <x v="0"/>
    <x v="1"/>
    <n v="1306"/>
    <x v="0"/>
    <n v="5"/>
    <n v="3"/>
    <x v="3"/>
    <n v="1"/>
    <n v="614"/>
    <n v="2"/>
    <x v="1"/>
    <n v="69"/>
    <n v="3"/>
    <x v="1"/>
    <s v="Sales Representative"/>
    <n v="2"/>
    <s v="Single"/>
    <x v="443"/>
    <n v="8059"/>
    <n v="1"/>
    <s v="Y"/>
    <x v="0"/>
    <n v="14"/>
    <n v="3"/>
    <n v="4"/>
    <x v="0"/>
    <n v="0"/>
    <n v="0"/>
    <n v="3"/>
    <n v="3"/>
    <n v="0"/>
    <n v="0"/>
    <x v="0"/>
    <n v="0"/>
  </r>
  <r>
    <n v="40"/>
    <x v="1"/>
    <x v="2"/>
    <n v="1094"/>
    <x v="0"/>
    <n v="28"/>
    <n v="3"/>
    <x v="1"/>
    <n v="1"/>
    <n v="615"/>
    <n v="3"/>
    <x v="1"/>
    <n v="58"/>
    <n v="1"/>
    <x v="2"/>
    <s v="Sales Executive"/>
    <n v="1"/>
    <s v="Divorced"/>
    <x v="444"/>
    <n v="11373"/>
    <n v="3"/>
    <s v="Y"/>
    <x v="1"/>
    <n v="15"/>
    <n v="3"/>
    <n v="3"/>
    <x v="0"/>
    <n v="1"/>
    <n v="20"/>
    <n v="2"/>
    <n v="3"/>
    <n v="1"/>
    <n v="0"/>
    <x v="0"/>
    <n v="1"/>
  </r>
  <r>
    <n v="41"/>
    <x v="1"/>
    <x v="2"/>
    <n v="509"/>
    <x v="1"/>
    <n v="2"/>
    <n v="4"/>
    <x v="1"/>
    <n v="1"/>
    <n v="616"/>
    <n v="1"/>
    <x v="0"/>
    <n v="62"/>
    <n v="2"/>
    <x v="0"/>
    <s v="Healthcare Representative"/>
    <n v="3"/>
    <s v="Single"/>
    <x v="445"/>
    <n v="2112"/>
    <n v="2"/>
    <s v="Y"/>
    <x v="0"/>
    <n v="17"/>
    <n v="3"/>
    <n v="1"/>
    <x v="0"/>
    <n v="0"/>
    <n v="10"/>
    <n v="3"/>
    <n v="3"/>
    <n v="8"/>
    <n v="7"/>
    <x v="0"/>
    <n v="7"/>
  </r>
  <r>
    <n v="26"/>
    <x v="1"/>
    <x v="0"/>
    <n v="775"/>
    <x v="0"/>
    <n v="29"/>
    <n v="2"/>
    <x v="2"/>
    <n v="1"/>
    <n v="618"/>
    <n v="1"/>
    <x v="1"/>
    <n v="45"/>
    <n v="3"/>
    <x v="0"/>
    <s v="Sales Executive"/>
    <n v="3"/>
    <s v="Divorced"/>
    <x v="383"/>
    <n v="4267"/>
    <n v="5"/>
    <s v="Y"/>
    <x v="1"/>
    <n v="12"/>
    <n v="3"/>
    <n v="1"/>
    <x v="0"/>
    <n v="2"/>
    <n v="8"/>
    <n v="5"/>
    <n v="3"/>
    <n v="0"/>
    <n v="0"/>
    <x v="0"/>
    <n v="0"/>
  </r>
  <r>
    <n v="35"/>
    <x v="1"/>
    <x v="0"/>
    <n v="195"/>
    <x v="0"/>
    <n v="1"/>
    <n v="3"/>
    <x v="2"/>
    <n v="1"/>
    <n v="620"/>
    <n v="1"/>
    <x v="0"/>
    <n v="80"/>
    <n v="3"/>
    <x v="0"/>
    <s v="Sales Executive"/>
    <n v="3"/>
    <s v="Single"/>
    <x v="446"/>
    <n v="6698"/>
    <n v="1"/>
    <s v="Y"/>
    <x v="1"/>
    <n v="16"/>
    <n v="3"/>
    <n v="4"/>
    <x v="0"/>
    <n v="0"/>
    <n v="5"/>
    <n v="3"/>
    <n v="3"/>
    <n v="5"/>
    <n v="4"/>
    <x v="0"/>
    <n v="3"/>
  </r>
  <r>
    <n v="34"/>
    <x v="1"/>
    <x v="0"/>
    <n v="258"/>
    <x v="0"/>
    <n v="21"/>
    <n v="4"/>
    <x v="0"/>
    <n v="1"/>
    <n v="621"/>
    <n v="4"/>
    <x v="1"/>
    <n v="74"/>
    <n v="4"/>
    <x v="0"/>
    <s v="Sales Executive"/>
    <n v="4"/>
    <s v="Single"/>
    <x v="447"/>
    <n v="19921"/>
    <n v="1"/>
    <s v="Y"/>
    <x v="1"/>
    <n v="12"/>
    <n v="3"/>
    <n v="4"/>
    <x v="0"/>
    <n v="0"/>
    <n v="10"/>
    <n v="3"/>
    <n v="3"/>
    <n v="10"/>
    <n v="7"/>
    <x v="8"/>
    <n v="7"/>
  </r>
  <r>
    <n v="26"/>
    <x v="0"/>
    <x v="0"/>
    <n v="471"/>
    <x v="1"/>
    <n v="24"/>
    <n v="3"/>
    <x v="4"/>
    <n v="1"/>
    <n v="622"/>
    <n v="3"/>
    <x v="1"/>
    <n v="66"/>
    <n v="1"/>
    <x v="1"/>
    <s v="Laboratory Technician"/>
    <n v="4"/>
    <s v="Single"/>
    <x v="246"/>
    <n v="23213"/>
    <n v="1"/>
    <s v="Y"/>
    <x v="0"/>
    <n v="18"/>
    <n v="3"/>
    <n v="2"/>
    <x v="0"/>
    <n v="0"/>
    <n v="1"/>
    <n v="3"/>
    <n v="1"/>
    <n v="1"/>
    <n v="0"/>
    <x v="0"/>
    <n v="0"/>
  </r>
  <r>
    <n v="37"/>
    <x v="1"/>
    <x v="0"/>
    <n v="799"/>
    <x v="1"/>
    <n v="1"/>
    <n v="3"/>
    <x v="4"/>
    <n v="1"/>
    <n v="623"/>
    <n v="2"/>
    <x v="0"/>
    <n v="59"/>
    <n v="3"/>
    <x v="2"/>
    <s v="Manufacturing Director"/>
    <n v="4"/>
    <s v="Single"/>
    <x v="448"/>
    <n v="23848"/>
    <n v="4"/>
    <s v="Y"/>
    <x v="1"/>
    <n v="17"/>
    <n v="3"/>
    <n v="4"/>
    <x v="0"/>
    <n v="0"/>
    <n v="12"/>
    <n v="3"/>
    <n v="4"/>
    <n v="6"/>
    <n v="5"/>
    <x v="1"/>
    <n v="2"/>
  </r>
  <r>
    <n v="46"/>
    <x v="1"/>
    <x v="1"/>
    <n v="1034"/>
    <x v="1"/>
    <n v="18"/>
    <n v="1"/>
    <x v="2"/>
    <n v="1"/>
    <n v="624"/>
    <n v="1"/>
    <x v="0"/>
    <n v="86"/>
    <n v="3"/>
    <x v="2"/>
    <s v="Healthcare Representative"/>
    <n v="3"/>
    <s v="Married"/>
    <x v="449"/>
    <n v="8984"/>
    <n v="5"/>
    <s v="Y"/>
    <x v="1"/>
    <n v="11"/>
    <n v="3"/>
    <n v="4"/>
    <x v="0"/>
    <n v="0"/>
    <n v="28"/>
    <n v="3"/>
    <n v="2"/>
    <n v="2"/>
    <n v="2"/>
    <x v="1"/>
    <n v="2"/>
  </r>
  <r>
    <n v="41"/>
    <x v="1"/>
    <x v="0"/>
    <n v="1276"/>
    <x v="0"/>
    <n v="2"/>
    <n v="5"/>
    <x v="0"/>
    <n v="1"/>
    <n v="625"/>
    <n v="2"/>
    <x v="0"/>
    <n v="91"/>
    <n v="3"/>
    <x v="3"/>
    <s v="Manager"/>
    <n v="1"/>
    <s v="Married"/>
    <x v="450"/>
    <n v="5626"/>
    <n v="7"/>
    <s v="Y"/>
    <x v="1"/>
    <n v="16"/>
    <n v="3"/>
    <n v="2"/>
    <x v="0"/>
    <n v="1"/>
    <n v="22"/>
    <n v="2"/>
    <n v="3"/>
    <n v="18"/>
    <n v="16"/>
    <x v="14"/>
    <n v="8"/>
  </r>
  <r>
    <n v="37"/>
    <x v="1"/>
    <x v="2"/>
    <n v="142"/>
    <x v="0"/>
    <n v="9"/>
    <n v="4"/>
    <x v="2"/>
    <n v="1"/>
    <n v="626"/>
    <n v="1"/>
    <x v="1"/>
    <n v="69"/>
    <n v="3"/>
    <x v="2"/>
    <s v="Sales Executive"/>
    <n v="2"/>
    <s v="Divorced"/>
    <x v="451"/>
    <n v="24666"/>
    <n v="1"/>
    <s v="Y"/>
    <x v="1"/>
    <n v="13"/>
    <n v="3"/>
    <n v="4"/>
    <x v="0"/>
    <n v="1"/>
    <n v="9"/>
    <n v="6"/>
    <n v="3"/>
    <n v="9"/>
    <n v="5"/>
    <x v="4"/>
    <n v="7"/>
  </r>
  <r>
    <n v="52"/>
    <x v="1"/>
    <x v="0"/>
    <n v="956"/>
    <x v="1"/>
    <n v="6"/>
    <n v="2"/>
    <x v="4"/>
    <n v="1"/>
    <n v="630"/>
    <n v="4"/>
    <x v="1"/>
    <n v="78"/>
    <n v="3"/>
    <x v="0"/>
    <s v="Research Scientist"/>
    <n v="1"/>
    <s v="Divorced"/>
    <x v="452"/>
    <n v="22087"/>
    <n v="3"/>
    <s v="Y"/>
    <x v="0"/>
    <n v="12"/>
    <n v="3"/>
    <n v="2"/>
    <x v="0"/>
    <n v="2"/>
    <n v="18"/>
    <n v="3"/>
    <n v="3"/>
    <n v="10"/>
    <n v="9"/>
    <x v="7"/>
    <n v="9"/>
  </r>
  <r>
    <n v="32"/>
    <x v="0"/>
    <x v="2"/>
    <n v="1474"/>
    <x v="0"/>
    <n v="11"/>
    <n v="4"/>
    <x v="1"/>
    <n v="1"/>
    <n v="631"/>
    <n v="4"/>
    <x v="1"/>
    <n v="60"/>
    <n v="4"/>
    <x v="0"/>
    <s v="Sales Executive"/>
    <n v="3"/>
    <s v="Married"/>
    <x v="453"/>
    <n v="23914"/>
    <n v="8"/>
    <s v="Y"/>
    <x v="1"/>
    <n v="12"/>
    <n v="3"/>
    <n v="4"/>
    <x v="0"/>
    <n v="0"/>
    <n v="6"/>
    <n v="2"/>
    <n v="3"/>
    <n v="4"/>
    <n v="2"/>
    <x v="1"/>
    <n v="2"/>
  </r>
  <r>
    <n v="24"/>
    <x v="1"/>
    <x v="1"/>
    <n v="535"/>
    <x v="0"/>
    <n v="24"/>
    <n v="3"/>
    <x v="2"/>
    <n v="1"/>
    <n v="632"/>
    <n v="4"/>
    <x v="1"/>
    <n v="38"/>
    <n v="3"/>
    <x v="1"/>
    <s v="Sales Representative"/>
    <n v="4"/>
    <s v="Married"/>
    <x v="454"/>
    <n v="5530"/>
    <n v="0"/>
    <s v="Y"/>
    <x v="1"/>
    <n v="13"/>
    <n v="3"/>
    <n v="3"/>
    <x v="0"/>
    <n v="2"/>
    <n v="3"/>
    <n v="3"/>
    <n v="3"/>
    <n v="2"/>
    <n v="2"/>
    <x v="3"/>
    <n v="1"/>
  </r>
  <r>
    <n v="38"/>
    <x v="1"/>
    <x v="0"/>
    <n v="1495"/>
    <x v="1"/>
    <n v="10"/>
    <n v="3"/>
    <x v="2"/>
    <n v="1"/>
    <n v="634"/>
    <n v="3"/>
    <x v="0"/>
    <n v="76"/>
    <n v="3"/>
    <x v="0"/>
    <s v="Healthcare Representative"/>
    <n v="3"/>
    <s v="Married"/>
    <x v="427"/>
    <n v="22174"/>
    <n v="3"/>
    <s v="Y"/>
    <x v="1"/>
    <n v="19"/>
    <n v="3"/>
    <n v="3"/>
    <x v="0"/>
    <n v="1"/>
    <n v="18"/>
    <n v="4"/>
    <n v="3"/>
    <n v="1"/>
    <n v="0"/>
    <x v="0"/>
    <n v="0"/>
  </r>
  <r>
    <n v="37"/>
    <x v="1"/>
    <x v="0"/>
    <n v="446"/>
    <x v="1"/>
    <n v="1"/>
    <n v="4"/>
    <x v="0"/>
    <n v="1"/>
    <n v="635"/>
    <n v="2"/>
    <x v="0"/>
    <n v="65"/>
    <n v="3"/>
    <x v="0"/>
    <s v="Manufacturing Director"/>
    <n v="2"/>
    <s v="Married"/>
    <x v="455"/>
    <n v="15701"/>
    <n v="6"/>
    <s v="Y"/>
    <x v="1"/>
    <n v="12"/>
    <n v="3"/>
    <n v="2"/>
    <x v="0"/>
    <n v="1"/>
    <n v="8"/>
    <n v="2"/>
    <n v="2"/>
    <n v="6"/>
    <n v="5"/>
    <x v="5"/>
    <n v="3"/>
  </r>
  <r>
    <n v="49"/>
    <x v="1"/>
    <x v="0"/>
    <n v="1245"/>
    <x v="1"/>
    <n v="18"/>
    <n v="4"/>
    <x v="0"/>
    <n v="1"/>
    <n v="638"/>
    <n v="4"/>
    <x v="1"/>
    <n v="58"/>
    <n v="2"/>
    <x v="4"/>
    <s v="Research Director"/>
    <n v="3"/>
    <s v="Divorced"/>
    <x v="456"/>
    <n v="2125"/>
    <n v="1"/>
    <s v="Y"/>
    <x v="0"/>
    <n v="17"/>
    <n v="3"/>
    <n v="3"/>
    <x v="0"/>
    <n v="1"/>
    <n v="31"/>
    <n v="5"/>
    <n v="3"/>
    <n v="31"/>
    <n v="9"/>
    <x v="0"/>
    <n v="9"/>
  </r>
  <r>
    <n v="24"/>
    <x v="1"/>
    <x v="0"/>
    <n v="691"/>
    <x v="1"/>
    <n v="23"/>
    <n v="3"/>
    <x v="2"/>
    <n v="1"/>
    <n v="639"/>
    <n v="2"/>
    <x v="1"/>
    <n v="89"/>
    <n v="4"/>
    <x v="1"/>
    <s v="Research Scientist"/>
    <n v="4"/>
    <s v="Married"/>
    <x v="457"/>
    <n v="21630"/>
    <n v="1"/>
    <s v="Y"/>
    <x v="0"/>
    <n v="11"/>
    <n v="3"/>
    <n v="2"/>
    <x v="0"/>
    <n v="2"/>
    <n v="6"/>
    <n v="3"/>
    <n v="3"/>
    <n v="6"/>
    <n v="5"/>
    <x v="1"/>
    <n v="4"/>
  </r>
  <r>
    <n v="26"/>
    <x v="1"/>
    <x v="0"/>
    <n v="703"/>
    <x v="0"/>
    <n v="28"/>
    <n v="2"/>
    <x v="3"/>
    <n v="1"/>
    <n v="641"/>
    <n v="1"/>
    <x v="1"/>
    <n v="66"/>
    <n v="3"/>
    <x v="0"/>
    <s v="Sales Executive"/>
    <n v="2"/>
    <s v="Married"/>
    <x v="458"/>
    <n v="7428"/>
    <n v="1"/>
    <s v="Y"/>
    <x v="1"/>
    <n v="20"/>
    <n v="4"/>
    <n v="4"/>
    <x v="0"/>
    <n v="2"/>
    <n v="6"/>
    <n v="5"/>
    <n v="4"/>
    <n v="5"/>
    <n v="3"/>
    <x v="1"/>
    <n v="4"/>
  </r>
  <r>
    <n v="24"/>
    <x v="1"/>
    <x v="0"/>
    <n v="823"/>
    <x v="1"/>
    <n v="17"/>
    <n v="2"/>
    <x v="1"/>
    <n v="1"/>
    <n v="643"/>
    <n v="4"/>
    <x v="1"/>
    <n v="94"/>
    <n v="2"/>
    <x v="1"/>
    <s v="Laboratory Technician"/>
    <n v="2"/>
    <s v="Married"/>
    <x v="459"/>
    <n v="9100"/>
    <n v="1"/>
    <s v="Y"/>
    <x v="1"/>
    <n v="21"/>
    <n v="4"/>
    <n v="4"/>
    <x v="0"/>
    <n v="1"/>
    <n v="1"/>
    <n v="2"/>
    <n v="3"/>
    <n v="1"/>
    <n v="0"/>
    <x v="0"/>
    <n v="0"/>
  </r>
  <r>
    <n v="50"/>
    <x v="1"/>
    <x v="1"/>
    <n v="1246"/>
    <x v="2"/>
    <n v="3"/>
    <n v="3"/>
    <x v="2"/>
    <n v="1"/>
    <n v="644"/>
    <n v="1"/>
    <x v="1"/>
    <n v="99"/>
    <n v="3"/>
    <x v="4"/>
    <s v="Manager"/>
    <n v="2"/>
    <s v="Married"/>
    <x v="460"/>
    <n v="7999"/>
    <n v="1"/>
    <s v="Y"/>
    <x v="1"/>
    <n v="11"/>
    <n v="3"/>
    <n v="3"/>
    <x v="0"/>
    <n v="1"/>
    <n v="32"/>
    <n v="2"/>
    <n v="3"/>
    <n v="32"/>
    <n v="5"/>
    <x v="13"/>
    <n v="7"/>
  </r>
  <r>
    <n v="25"/>
    <x v="1"/>
    <x v="0"/>
    <n v="622"/>
    <x v="0"/>
    <n v="13"/>
    <n v="1"/>
    <x v="2"/>
    <n v="1"/>
    <n v="645"/>
    <n v="2"/>
    <x v="1"/>
    <n v="40"/>
    <n v="3"/>
    <x v="1"/>
    <s v="Sales Representative"/>
    <n v="3"/>
    <s v="Married"/>
    <x v="461"/>
    <n v="26376"/>
    <n v="1"/>
    <s v="Y"/>
    <x v="1"/>
    <n v="11"/>
    <n v="3"/>
    <n v="3"/>
    <x v="0"/>
    <n v="0"/>
    <n v="7"/>
    <n v="1"/>
    <n v="3"/>
    <n v="7"/>
    <n v="4"/>
    <x v="0"/>
    <n v="6"/>
  </r>
  <r>
    <n v="24"/>
    <x v="0"/>
    <x v="1"/>
    <n v="1287"/>
    <x v="1"/>
    <n v="7"/>
    <n v="3"/>
    <x v="0"/>
    <n v="1"/>
    <n v="647"/>
    <n v="1"/>
    <x v="0"/>
    <n v="55"/>
    <n v="3"/>
    <x v="1"/>
    <s v="Laboratory Technician"/>
    <n v="3"/>
    <s v="Married"/>
    <x v="407"/>
    <n v="14168"/>
    <n v="1"/>
    <s v="Y"/>
    <x v="0"/>
    <n v="16"/>
    <n v="3"/>
    <n v="4"/>
    <x v="0"/>
    <n v="1"/>
    <n v="6"/>
    <n v="4"/>
    <n v="3"/>
    <n v="6"/>
    <n v="3"/>
    <x v="1"/>
    <n v="2"/>
  </r>
  <r>
    <n v="30"/>
    <x v="0"/>
    <x v="1"/>
    <n v="448"/>
    <x v="0"/>
    <n v="12"/>
    <n v="4"/>
    <x v="0"/>
    <n v="1"/>
    <n v="648"/>
    <n v="2"/>
    <x v="1"/>
    <n v="74"/>
    <n v="2"/>
    <x v="1"/>
    <s v="Sales Representative"/>
    <n v="1"/>
    <s v="Married"/>
    <x v="462"/>
    <n v="14470"/>
    <n v="1"/>
    <s v="Y"/>
    <x v="1"/>
    <n v="18"/>
    <n v="3"/>
    <n v="3"/>
    <x v="0"/>
    <n v="1"/>
    <n v="1"/>
    <n v="2"/>
    <n v="4"/>
    <n v="1"/>
    <n v="0"/>
    <x v="0"/>
    <n v="0"/>
  </r>
  <r>
    <n v="34"/>
    <x v="1"/>
    <x v="0"/>
    <n v="254"/>
    <x v="1"/>
    <n v="1"/>
    <n v="2"/>
    <x v="0"/>
    <n v="1"/>
    <n v="649"/>
    <n v="2"/>
    <x v="1"/>
    <n v="83"/>
    <n v="2"/>
    <x v="1"/>
    <s v="Research Scientist"/>
    <n v="4"/>
    <s v="Married"/>
    <x v="463"/>
    <n v="22794"/>
    <n v="1"/>
    <s v="Y"/>
    <x v="0"/>
    <n v="13"/>
    <n v="3"/>
    <n v="4"/>
    <x v="0"/>
    <n v="1"/>
    <n v="6"/>
    <n v="3"/>
    <n v="3"/>
    <n v="6"/>
    <n v="5"/>
    <x v="1"/>
    <n v="3"/>
  </r>
  <r>
    <n v="31"/>
    <x v="0"/>
    <x v="0"/>
    <n v="1365"/>
    <x v="0"/>
    <n v="13"/>
    <n v="4"/>
    <x v="2"/>
    <n v="1"/>
    <n v="650"/>
    <n v="2"/>
    <x v="1"/>
    <n v="46"/>
    <n v="3"/>
    <x v="0"/>
    <s v="Sales Executive"/>
    <n v="1"/>
    <s v="Divorced"/>
    <x v="464"/>
    <n v="11512"/>
    <n v="2"/>
    <s v="Y"/>
    <x v="1"/>
    <n v="17"/>
    <n v="3"/>
    <n v="3"/>
    <x v="0"/>
    <n v="0"/>
    <n v="9"/>
    <n v="2"/>
    <n v="1"/>
    <n v="3"/>
    <n v="1"/>
    <x v="1"/>
    <n v="2"/>
  </r>
  <r>
    <n v="35"/>
    <x v="1"/>
    <x v="0"/>
    <n v="538"/>
    <x v="1"/>
    <n v="25"/>
    <n v="2"/>
    <x v="1"/>
    <n v="1"/>
    <n v="652"/>
    <n v="1"/>
    <x v="1"/>
    <n v="54"/>
    <n v="2"/>
    <x v="0"/>
    <s v="Laboratory Technician"/>
    <n v="4"/>
    <s v="Single"/>
    <x v="465"/>
    <n v="14004"/>
    <n v="4"/>
    <s v="Y"/>
    <x v="1"/>
    <n v="14"/>
    <n v="3"/>
    <n v="4"/>
    <x v="0"/>
    <n v="0"/>
    <n v="9"/>
    <n v="3"/>
    <n v="3"/>
    <n v="3"/>
    <n v="2"/>
    <x v="0"/>
    <n v="2"/>
  </r>
  <r>
    <n v="31"/>
    <x v="1"/>
    <x v="0"/>
    <n v="525"/>
    <x v="0"/>
    <n v="6"/>
    <n v="4"/>
    <x v="2"/>
    <n v="1"/>
    <n v="653"/>
    <n v="1"/>
    <x v="1"/>
    <n v="66"/>
    <n v="4"/>
    <x v="0"/>
    <s v="Sales Executive"/>
    <n v="4"/>
    <s v="Divorced"/>
    <x v="466"/>
    <n v="6219"/>
    <n v="4"/>
    <s v="Y"/>
    <x v="1"/>
    <n v="22"/>
    <n v="4"/>
    <n v="4"/>
    <x v="0"/>
    <n v="2"/>
    <n v="13"/>
    <n v="4"/>
    <n v="4"/>
    <n v="7"/>
    <n v="7"/>
    <x v="8"/>
    <n v="7"/>
  </r>
  <r>
    <n v="27"/>
    <x v="1"/>
    <x v="0"/>
    <n v="798"/>
    <x v="1"/>
    <n v="6"/>
    <n v="4"/>
    <x v="2"/>
    <n v="1"/>
    <n v="655"/>
    <n v="1"/>
    <x v="0"/>
    <n v="66"/>
    <n v="2"/>
    <x v="1"/>
    <s v="Research Scientist"/>
    <n v="3"/>
    <s v="Divorced"/>
    <x v="467"/>
    <n v="5013"/>
    <n v="0"/>
    <s v="Y"/>
    <x v="1"/>
    <n v="12"/>
    <n v="3"/>
    <n v="3"/>
    <x v="0"/>
    <n v="2"/>
    <n v="6"/>
    <n v="5"/>
    <n v="2"/>
    <n v="5"/>
    <n v="3"/>
    <x v="0"/>
    <n v="3"/>
  </r>
  <r>
    <n v="37"/>
    <x v="1"/>
    <x v="0"/>
    <n v="558"/>
    <x v="0"/>
    <n v="2"/>
    <n v="3"/>
    <x v="3"/>
    <n v="1"/>
    <n v="656"/>
    <n v="4"/>
    <x v="1"/>
    <n v="75"/>
    <n v="3"/>
    <x v="0"/>
    <s v="Sales Executive"/>
    <n v="3"/>
    <s v="Married"/>
    <x v="468"/>
    <n v="3010"/>
    <n v="4"/>
    <s v="Y"/>
    <x v="0"/>
    <n v="11"/>
    <n v="3"/>
    <n v="3"/>
    <x v="0"/>
    <n v="1"/>
    <n v="17"/>
    <n v="3"/>
    <n v="2"/>
    <n v="3"/>
    <n v="0"/>
    <x v="1"/>
    <n v="0"/>
  </r>
  <r>
    <n v="20"/>
    <x v="1"/>
    <x v="0"/>
    <n v="959"/>
    <x v="1"/>
    <n v="1"/>
    <n v="3"/>
    <x v="0"/>
    <n v="1"/>
    <n v="657"/>
    <n v="4"/>
    <x v="0"/>
    <n v="83"/>
    <n v="2"/>
    <x v="1"/>
    <s v="Research Scientist"/>
    <n v="2"/>
    <s v="Single"/>
    <x v="469"/>
    <n v="11757"/>
    <n v="1"/>
    <s v="Y"/>
    <x v="1"/>
    <n v="13"/>
    <n v="3"/>
    <n v="4"/>
    <x v="0"/>
    <n v="0"/>
    <n v="1"/>
    <n v="0"/>
    <n v="4"/>
    <n v="1"/>
    <n v="0"/>
    <x v="0"/>
    <n v="0"/>
  </r>
  <r>
    <n v="42"/>
    <x v="1"/>
    <x v="0"/>
    <n v="622"/>
    <x v="1"/>
    <n v="2"/>
    <n v="4"/>
    <x v="0"/>
    <n v="1"/>
    <n v="659"/>
    <n v="3"/>
    <x v="0"/>
    <n v="81"/>
    <n v="3"/>
    <x v="0"/>
    <s v="Healthcare Representative"/>
    <n v="4"/>
    <s v="Married"/>
    <x v="470"/>
    <n v="5718"/>
    <n v="1"/>
    <s v="Y"/>
    <x v="1"/>
    <n v="13"/>
    <n v="3"/>
    <n v="2"/>
    <x v="0"/>
    <n v="2"/>
    <n v="10"/>
    <n v="4"/>
    <n v="3"/>
    <n v="10"/>
    <n v="2"/>
    <x v="3"/>
    <n v="2"/>
  </r>
  <r>
    <n v="43"/>
    <x v="1"/>
    <x v="0"/>
    <n v="782"/>
    <x v="1"/>
    <n v="6"/>
    <n v="4"/>
    <x v="1"/>
    <n v="1"/>
    <n v="661"/>
    <n v="2"/>
    <x v="1"/>
    <n v="50"/>
    <n v="2"/>
    <x v="3"/>
    <s v="Research Director"/>
    <n v="4"/>
    <s v="Divorced"/>
    <x v="471"/>
    <n v="2671"/>
    <n v="4"/>
    <s v="Y"/>
    <x v="0"/>
    <n v="14"/>
    <n v="3"/>
    <n v="3"/>
    <x v="0"/>
    <n v="1"/>
    <n v="21"/>
    <n v="3"/>
    <n v="2"/>
    <n v="1"/>
    <n v="0"/>
    <x v="0"/>
    <n v="0"/>
  </r>
  <r>
    <n v="38"/>
    <x v="1"/>
    <x v="0"/>
    <n v="362"/>
    <x v="1"/>
    <n v="1"/>
    <n v="1"/>
    <x v="0"/>
    <n v="1"/>
    <n v="662"/>
    <n v="3"/>
    <x v="0"/>
    <n v="43"/>
    <n v="3"/>
    <x v="1"/>
    <s v="Research Scientist"/>
    <n v="1"/>
    <s v="Single"/>
    <x v="472"/>
    <n v="14561"/>
    <n v="3"/>
    <s v="Y"/>
    <x v="1"/>
    <n v="17"/>
    <n v="3"/>
    <n v="4"/>
    <x v="0"/>
    <n v="0"/>
    <n v="8"/>
    <n v="3"/>
    <n v="2"/>
    <n v="0"/>
    <n v="0"/>
    <x v="0"/>
    <n v="0"/>
  </r>
  <r>
    <n v="43"/>
    <x v="1"/>
    <x v="1"/>
    <n v="1001"/>
    <x v="1"/>
    <n v="9"/>
    <n v="5"/>
    <x v="2"/>
    <n v="1"/>
    <n v="663"/>
    <n v="4"/>
    <x v="1"/>
    <n v="72"/>
    <n v="3"/>
    <x v="0"/>
    <s v="Laboratory Technician"/>
    <n v="3"/>
    <s v="Divorced"/>
    <x v="473"/>
    <n v="19627"/>
    <n v="3"/>
    <s v="Y"/>
    <x v="0"/>
    <n v="13"/>
    <n v="3"/>
    <n v="2"/>
    <x v="0"/>
    <n v="1"/>
    <n v="10"/>
    <n v="3"/>
    <n v="3"/>
    <n v="8"/>
    <n v="7"/>
    <x v="5"/>
    <n v="7"/>
  </r>
  <r>
    <n v="48"/>
    <x v="1"/>
    <x v="0"/>
    <n v="1236"/>
    <x v="1"/>
    <n v="1"/>
    <n v="4"/>
    <x v="0"/>
    <n v="1"/>
    <n v="664"/>
    <n v="4"/>
    <x v="0"/>
    <n v="40"/>
    <n v="2"/>
    <x v="3"/>
    <s v="Manager"/>
    <n v="1"/>
    <s v="Married"/>
    <x v="474"/>
    <n v="17997"/>
    <n v="7"/>
    <s v="Y"/>
    <x v="1"/>
    <n v="11"/>
    <n v="3"/>
    <n v="1"/>
    <x v="0"/>
    <n v="1"/>
    <n v="21"/>
    <n v="3"/>
    <n v="1"/>
    <n v="3"/>
    <n v="2"/>
    <x v="0"/>
    <n v="2"/>
  </r>
  <r>
    <n v="44"/>
    <x v="1"/>
    <x v="0"/>
    <n v="1112"/>
    <x v="2"/>
    <n v="1"/>
    <n v="4"/>
    <x v="0"/>
    <n v="1"/>
    <n v="665"/>
    <n v="1"/>
    <x v="0"/>
    <n v="50"/>
    <n v="2"/>
    <x v="0"/>
    <s v="Human Resources"/>
    <n v="3"/>
    <s v="Single"/>
    <x v="475"/>
    <n v="26894"/>
    <n v="4"/>
    <s v="Y"/>
    <x v="1"/>
    <n v="11"/>
    <n v="3"/>
    <n v="2"/>
    <x v="0"/>
    <n v="0"/>
    <n v="10"/>
    <n v="1"/>
    <n v="4"/>
    <n v="2"/>
    <n v="2"/>
    <x v="0"/>
    <n v="2"/>
  </r>
  <r>
    <n v="34"/>
    <x v="1"/>
    <x v="0"/>
    <n v="204"/>
    <x v="0"/>
    <n v="14"/>
    <n v="3"/>
    <x v="4"/>
    <n v="1"/>
    <n v="666"/>
    <n v="3"/>
    <x v="0"/>
    <n v="31"/>
    <n v="3"/>
    <x v="1"/>
    <s v="Sales Representative"/>
    <n v="3"/>
    <s v="Divorced"/>
    <x v="476"/>
    <n v="2912"/>
    <n v="1"/>
    <s v="Y"/>
    <x v="0"/>
    <n v="18"/>
    <n v="3"/>
    <n v="4"/>
    <x v="0"/>
    <n v="2"/>
    <n v="8"/>
    <n v="3"/>
    <n v="3"/>
    <n v="8"/>
    <n v="2"/>
    <x v="0"/>
    <n v="6"/>
  </r>
  <r>
    <n v="27"/>
    <x v="0"/>
    <x v="0"/>
    <n v="1420"/>
    <x v="0"/>
    <n v="2"/>
    <n v="1"/>
    <x v="3"/>
    <n v="1"/>
    <n v="667"/>
    <n v="3"/>
    <x v="1"/>
    <n v="85"/>
    <n v="3"/>
    <x v="1"/>
    <s v="Sales Representative"/>
    <n v="1"/>
    <s v="Divorced"/>
    <x v="477"/>
    <n v="16346"/>
    <n v="0"/>
    <s v="Y"/>
    <x v="1"/>
    <n v="11"/>
    <n v="3"/>
    <n v="2"/>
    <x v="0"/>
    <n v="1"/>
    <n v="5"/>
    <n v="3"/>
    <n v="3"/>
    <n v="4"/>
    <n v="3"/>
    <x v="0"/>
    <n v="2"/>
  </r>
  <r>
    <n v="21"/>
    <x v="1"/>
    <x v="0"/>
    <n v="1343"/>
    <x v="0"/>
    <n v="22"/>
    <n v="1"/>
    <x v="4"/>
    <n v="1"/>
    <n v="669"/>
    <n v="3"/>
    <x v="1"/>
    <n v="49"/>
    <n v="3"/>
    <x v="1"/>
    <s v="Sales Representative"/>
    <n v="3"/>
    <s v="Single"/>
    <x v="478"/>
    <n v="24444"/>
    <n v="1"/>
    <s v="Y"/>
    <x v="1"/>
    <n v="11"/>
    <n v="3"/>
    <n v="3"/>
    <x v="0"/>
    <n v="0"/>
    <n v="3"/>
    <n v="2"/>
    <n v="3"/>
    <n v="3"/>
    <n v="2"/>
    <x v="1"/>
    <n v="2"/>
  </r>
  <r>
    <n v="44"/>
    <x v="1"/>
    <x v="0"/>
    <n v="1315"/>
    <x v="1"/>
    <n v="3"/>
    <n v="4"/>
    <x v="1"/>
    <n v="1"/>
    <n v="671"/>
    <n v="4"/>
    <x v="1"/>
    <n v="35"/>
    <n v="3"/>
    <x v="4"/>
    <s v="Manager"/>
    <n v="4"/>
    <s v="Married"/>
    <x v="479"/>
    <n v="9358"/>
    <n v="4"/>
    <s v="Y"/>
    <x v="0"/>
    <n v="12"/>
    <n v="3"/>
    <n v="1"/>
    <x v="0"/>
    <n v="1"/>
    <n v="26"/>
    <n v="2"/>
    <n v="4"/>
    <n v="2"/>
    <n v="2"/>
    <x v="0"/>
    <n v="1"/>
  </r>
  <r>
    <n v="22"/>
    <x v="1"/>
    <x v="0"/>
    <n v="604"/>
    <x v="1"/>
    <n v="6"/>
    <n v="1"/>
    <x v="2"/>
    <n v="1"/>
    <n v="675"/>
    <n v="1"/>
    <x v="1"/>
    <n v="69"/>
    <n v="3"/>
    <x v="1"/>
    <s v="Research Scientist"/>
    <n v="3"/>
    <s v="Married"/>
    <x v="480"/>
    <n v="12145"/>
    <n v="0"/>
    <s v="Y"/>
    <x v="1"/>
    <n v="20"/>
    <n v="4"/>
    <n v="4"/>
    <x v="0"/>
    <n v="0"/>
    <n v="3"/>
    <n v="3"/>
    <n v="3"/>
    <n v="2"/>
    <n v="2"/>
    <x v="3"/>
    <n v="2"/>
  </r>
  <r>
    <n v="33"/>
    <x v="1"/>
    <x v="0"/>
    <n v="1216"/>
    <x v="0"/>
    <n v="8"/>
    <n v="4"/>
    <x v="3"/>
    <n v="1"/>
    <n v="677"/>
    <n v="3"/>
    <x v="1"/>
    <n v="39"/>
    <n v="3"/>
    <x v="0"/>
    <s v="Sales Executive"/>
    <n v="3"/>
    <s v="Divorced"/>
    <x v="481"/>
    <n v="20431"/>
    <n v="0"/>
    <s v="Y"/>
    <x v="1"/>
    <n v="12"/>
    <n v="3"/>
    <n v="4"/>
    <x v="0"/>
    <n v="0"/>
    <n v="6"/>
    <n v="3"/>
    <n v="3"/>
    <n v="5"/>
    <n v="0"/>
    <x v="1"/>
    <n v="2"/>
  </r>
  <r>
    <n v="32"/>
    <x v="1"/>
    <x v="0"/>
    <n v="646"/>
    <x v="1"/>
    <n v="9"/>
    <n v="4"/>
    <x v="0"/>
    <n v="1"/>
    <n v="679"/>
    <n v="1"/>
    <x v="0"/>
    <n v="92"/>
    <n v="3"/>
    <x v="0"/>
    <s v="Research Scientist"/>
    <n v="4"/>
    <s v="Married"/>
    <x v="482"/>
    <n v="18089"/>
    <n v="1"/>
    <s v="Y"/>
    <x v="0"/>
    <n v="12"/>
    <n v="3"/>
    <n v="4"/>
    <x v="0"/>
    <n v="1"/>
    <n v="6"/>
    <n v="2"/>
    <n v="2"/>
    <n v="6"/>
    <n v="4"/>
    <x v="0"/>
    <n v="5"/>
  </r>
  <r>
    <n v="30"/>
    <x v="1"/>
    <x v="1"/>
    <n v="160"/>
    <x v="1"/>
    <n v="3"/>
    <n v="3"/>
    <x v="2"/>
    <n v="1"/>
    <n v="680"/>
    <n v="3"/>
    <x v="0"/>
    <n v="71"/>
    <n v="3"/>
    <x v="1"/>
    <s v="Research Scientist"/>
    <n v="3"/>
    <s v="Divorced"/>
    <x v="483"/>
    <n v="22653"/>
    <n v="1"/>
    <s v="Y"/>
    <x v="1"/>
    <n v="20"/>
    <n v="4"/>
    <n v="3"/>
    <x v="0"/>
    <n v="1"/>
    <n v="1"/>
    <n v="2"/>
    <n v="3"/>
    <n v="1"/>
    <n v="0"/>
    <x v="0"/>
    <n v="0"/>
  </r>
  <r>
    <n v="53"/>
    <x v="1"/>
    <x v="0"/>
    <n v="238"/>
    <x v="0"/>
    <n v="1"/>
    <n v="1"/>
    <x v="2"/>
    <n v="1"/>
    <n v="682"/>
    <n v="4"/>
    <x v="0"/>
    <n v="34"/>
    <n v="3"/>
    <x v="0"/>
    <s v="Sales Executive"/>
    <n v="1"/>
    <s v="Single"/>
    <x v="484"/>
    <n v="7507"/>
    <n v="7"/>
    <s v="Y"/>
    <x v="1"/>
    <n v="20"/>
    <n v="4"/>
    <n v="4"/>
    <x v="0"/>
    <n v="0"/>
    <n v="18"/>
    <n v="2"/>
    <n v="4"/>
    <n v="14"/>
    <n v="7"/>
    <x v="6"/>
    <n v="10"/>
  </r>
  <r>
    <n v="34"/>
    <x v="1"/>
    <x v="0"/>
    <n v="1397"/>
    <x v="1"/>
    <n v="1"/>
    <n v="5"/>
    <x v="0"/>
    <n v="1"/>
    <n v="683"/>
    <n v="2"/>
    <x v="1"/>
    <n v="42"/>
    <n v="3"/>
    <x v="1"/>
    <s v="Research Scientist"/>
    <n v="4"/>
    <s v="Married"/>
    <x v="485"/>
    <n v="7660"/>
    <n v="1"/>
    <s v="Y"/>
    <x v="1"/>
    <n v="12"/>
    <n v="3"/>
    <n v="4"/>
    <x v="0"/>
    <n v="1"/>
    <n v="10"/>
    <n v="4"/>
    <n v="2"/>
    <n v="10"/>
    <n v="9"/>
    <x v="6"/>
    <n v="8"/>
  </r>
  <r>
    <n v="45"/>
    <x v="0"/>
    <x v="1"/>
    <n v="306"/>
    <x v="0"/>
    <n v="26"/>
    <n v="4"/>
    <x v="0"/>
    <n v="1"/>
    <n v="684"/>
    <n v="1"/>
    <x v="0"/>
    <n v="100"/>
    <n v="3"/>
    <x v="0"/>
    <s v="Sales Executive"/>
    <n v="1"/>
    <s v="Married"/>
    <x v="486"/>
    <n v="5630"/>
    <n v="2"/>
    <s v="Y"/>
    <x v="1"/>
    <n v="14"/>
    <n v="3"/>
    <n v="4"/>
    <x v="0"/>
    <n v="2"/>
    <n v="5"/>
    <n v="4"/>
    <n v="3"/>
    <n v="1"/>
    <n v="1"/>
    <x v="0"/>
    <n v="0"/>
  </r>
  <r>
    <n v="26"/>
    <x v="1"/>
    <x v="0"/>
    <n v="991"/>
    <x v="1"/>
    <n v="6"/>
    <n v="3"/>
    <x v="0"/>
    <n v="1"/>
    <n v="686"/>
    <n v="3"/>
    <x v="0"/>
    <n v="71"/>
    <n v="3"/>
    <x v="1"/>
    <s v="Laboratory Technician"/>
    <n v="4"/>
    <s v="Married"/>
    <x v="487"/>
    <n v="17759"/>
    <n v="1"/>
    <s v="Y"/>
    <x v="0"/>
    <n v="13"/>
    <n v="3"/>
    <n v="3"/>
    <x v="0"/>
    <n v="1"/>
    <n v="3"/>
    <n v="2"/>
    <n v="3"/>
    <n v="3"/>
    <n v="2"/>
    <x v="0"/>
    <n v="2"/>
  </r>
  <r>
    <n v="37"/>
    <x v="1"/>
    <x v="0"/>
    <n v="482"/>
    <x v="1"/>
    <n v="3"/>
    <n v="3"/>
    <x v="1"/>
    <n v="1"/>
    <n v="689"/>
    <n v="3"/>
    <x v="1"/>
    <n v="36"/>
    <n v="3"/>
    <x v="2"/>
    <s v="Manufacturing Director"/>
    <n v="3"/>
    <s v="Married"/>
    <x v="488"/>
    <n v="9606"/>
    <n v="1"/>
    <s v="Y"/>
    <x v="1"/>
    <n v="15"/>
    <n v="3"/>
    <n v="3"/>
    <x v="0"/>
    <n v="1"/>
    <n v="10"/>
    <n v="2"/>
    <n v="3"/>
    <n v="10"/>
    <n v="7"/>
    <x v="4"/>
    <n v="8"/>
  </r>
  <r>
    <n v="29"/>
    <x v="1"/>
    <x v="0"/>
    <n v="1176"/>
    <x v="0"/>
    <n v="3"/>
    <n v="2"/>
    <x v="2"/>
    <n v="1"/>
    <n v="690"/>
    <n v="2"/>
    <x v="0"/>
    <n v="62"/>
    <n v="3"/>
    <x v="0"/>
    <s v="Sales Executive"/>
    <n v="3"/>
    <s v="Married"/>
    <x v="489"/>
    <n v="3487"/>
    <n v="1"/>
    <s v="Y"/>
    <x v="1"/>
    <n v="14"/>
    <n v="3"/>
    <n v="1"/>
    <x v="0"/>
    <n v="1"/>
    <n v="6"/>
    <n v="5"/>
    <n v="2"/>
    <n v="6"/>
    <n v="0"/>
    <x v="1"/>
    <n v="2"/>
  </r>
  <r>
    <n v="35"/>
    <x v="1"/>
    <x v="0"/>
    <n v="1017"/>
    <x v="1"/>
    <n v="6"/>
    <n v="4"/>
    <x v="0"/>
    <n v="1"/>
    <n v="691"/>
    <n v="2"/>
    <x v="1"/>
    <n v="82"/>
    <n v="1"/>
    <x v="0"/>
    <s v="Research Scientist"/>
    <n v="4"/>
    <s v="Single"/>
    <x v="490"/>
    <n v="19368"/>
    <n v="1"/>
    <s v="Y"/>
    <x v="1"/>
    <n v="13"/>
    <n v="3"/>
    <n v="2"/>
    <x v="0"/>
    <n v="0"/>
    <n v="17"/>
    <n v="3"/>
    <n v="3"/>
    <n v="17"/>
    <n v="11"/>
    <x v="14"/>
    <n v="8"/>
  </r>
  <r>
    <n v="33"/>
    <x v="1"/>
    <x v="1"/>
    <n v="1296"/>
    <x v="1"/>
    <n v="6"/>
    <n v="3"/>
    <x v="0"/>
    <n v="1"/>
    <n v="692"/>
    <n v="3"/>
    <x v="1"/>
    <n v="30"/>
    <n v="3"/>
    <x v="0"/>
    <s v="Healthcare Representative"/>
    <n v="4"/>
    <s v="Divorced"/>
    <x v="491"/>
    <n v="5335"/>
    <n v="3"/>
    <s v="Y"/>
    <x v="1"/>
    <n v="23"/>
    <n v="4"/>
    <n v="3"/>
    <x v="0"/>
    <n v="1"/>
    <n v="15"/>
    <n v="2"/>
    <n v="1"/>
    <n v="13"/>
    <n v="11"/>
    <x v="5"/>
    <n v="7"/>
  </r>
  <r>
    <n v="54"/>
    <x v="1"/>
    <x v="0"/>
    <n v="397"/>
    <x v="2"/>
    <n v="19"/>
    <n v="4"/>
    <x v="2"/>
    <n v="1"/>
    <n v="698"/>
    <n v="3"/>
    <x v="1"/>
    <n v="88"/>
    <n v="3"/>
    <x v="2"/>
    <s v="Human Resources"/>
    <n v="2"/>
    <s v="Married"/>
    <x v="492"/>
    <n v="6729"/>
    <n v="2"/>
    <s v="Y"/>
    <x v="1"/>
    <n v="15"/>
    <n v="3"/>
    <n v="3"/>
    <x v="0"/>
    <n v="1"/>
    <n v="16"/>
    <n v="1"/>
    <n v="4"/>
    <n v="9"/>
    <n v="7"/>
    <x v="4"/>
    <n v="1"/>
  </r>
  <r>
    <n v="36"/>
    <x v="1"/>
    <x v="0"/>
    <n v="913"/>
    <x v="1"/>
    <n v="9"/>
    <n v="2"/>
    <x v="2"/>
    <n v="1"/>
    <n v="699"/>
    <n v="2"/>
    <x v="1"/>
    <n v="48"/>
    <n v="2"/>
    <x v="0"/>
    <s v="Manufacturing Director"/>
    <n v="2"/>
    <s v="Divorced"/>
    <x v="493"/>
    <n v="13934"/>
    <n v="2"/>
    <s v="Y"/>
    <x v="0"/>
    <n v="11"/>
    <n v="3"/>
    <n v="3"/>
    <x v="0"/>
    <n v="1"/>
    <n v="13"/>
    <n v="2"/>
    <n v="3"/>
    <n v="3"/>
    <n v="2"/>
    <x v="0"/>
    <n v="2"/>
  </r>
  <r>
    <n v="27"/>
    <x v="1"/>
    <x v="0"/>
    <n v="1115"/>
    <x v="1"/>
    <n v="3"/>
    <n v="4"/>
    <x v="2"/>
    <n v="1"/>
    <n v="700"/>
    <n v="1"/>
    <x v="1"/>
    <n v="54"/>
    <n v="2"/>
    <x v="1"/>
    <s v="Research Scientist"/>
    <n v="4"/>
    <s v="Single"/>
    <x v="494"/>
    <n v="15174"/>
    <n v="0"/>
    <s v="Y"/>
    <x v="1"/>
    <n v="13"/>
    <n v="3"/>
    <n v="4"/>
    <x v="0"/>
    <n v="0"/>
    <n v="5"/>
    <n v="0"/>
    <n v="3"/>
    <n v="4"/>
    <n v="2"/>
    <x v="1"/>
    <n v="1"/>
  </r>
  <r>
    <n v="20"/>
    <x v="0"/>
    <x v="0"/>
    <n v="1362"/>
    <x v="1"/>
    <n v="10"/>
    <n v="1"/>
    <x v="2"/>
    <n v="1"/>
    <n v="701"/>
    <n v="4"/>
    <x v="1"/>
    <n v="32"/>
    <n v="3"/>
    <x v="1"/>
    <s v="Research Scientist"/>
    <n v="3"/>
    <s v="Single"/>
    <x v="495"/>
    <n v="26999"/>
    <n v="1"/>
    <s v="Y"/>
    <x v="0"/>
    <n v="11"/>
    <n v="3"/>
    <n v="4"/>
    <x v="0"/>
    <n v="0"/>
    <n v="1"/>
    <n v="5"/>
    <n v="3"/>
    <n v="1"/>
    <n v="0"/>
    <x v="1"/>
    <n v="1"/>
  </r>
  <r>
    <n v="33"/>
    <x v="0"/>
    <x v="1"/>
    <n v="1076"/>
    <x v="1"/>
    <n v="3"/>
    <n v="3"/>
    <x v="0"/>
    <n v="1"/>
    <n v="702"/>
    <n v="1"/>
    <x v="1"/>
    <n v="70"/>
    <n v="3"/>
    <x v="1"/>
    <s v="Research Scientist"/>
    <n v="1"/>
    <s v="Single"/>
    <x v="496"/>
    <n v="3164"/>
    <n v="1"/>
    <s v="Y"/>
    <x v="0"/>
    <n v="11"/>
    <n v="3"/>
    <n v="1"/>
    <x v="0"/>
    <n v="0"/>
    <n v="10"/>
    <n v="3"/>
    <n v="3"/>
    <n v="10"/>
    <n v="8"/>
    <x v="10"/>
    <n v="7"/>
  </r>
  <r>
    <n v="35"/>
    <x v="1"/>
    <x v="2"/>
    <n v="727"/>
    <x v="1"/>
    <n v="3"/>
    <n v="3"/>
    <x v="0"/>
    <n v="1"/>
    <n v="704"/>
    <n v="3"/>
    <x v="1"/>
    <n v="41"/>
    <n v="2"/>
    <x v="1"/>
    <s v="Laboratory Technician"/>
    <n v="3"/>
    <s v="Married"/>
    <x v="497"/>
    <n v="16900"/>
    <n v="1"/>
    <s v="Y"/>
    <x v="1"/>
    <n v="18"/>
    <n v="3"/>
    <n v="3"/>
    <x v="0"/>
    <n v="2"/>
    <n v="1"/>
    <n v="3"/>
    <n v="3"/>
    <n v="1"/>
    <n v="0"/>
    <x v="0"/>
    <n v="0"/>
  </r>
  <r>
    <n v="23"/>
    <x v="1"/>
    <x v="0"/>
    <n v="885"/>
    <x v="1"/>
    <n v="4"/>
    <n v="3"/>
    <x v="2"/>
    <n v="1"/>
    <n v="705"/>
    <n v="1"/>
    <x v="1"/>
    <n v="58"/>
    <n v="4"/>
    <x v="1"/>
    <s v="Research Scientist"/>
    <n v="1"/>
    <s v="Married"/>
    <x v="498"/>
    <n v="8544"/>
    <n v="2"/>
    <s v="Y"/>
    <x v="1"/>
    <n v="16"/>
    <n v="3"/>
    <n v="1"/>
    <x v="0"/>
    <n v="1"/>
    <n v="5"/>
    <n v="3"/>
    <n v="4"/>
    <n v="3"/>
    <n v="2"/>
    <x v="0"/>
    <n v="2"/>
  </r>
  <r>
    <n v="25"/>
    <x v="1"/>
    <x v="0"/>
    <n v="810"/>
    <x v="0"/>
    <n v="8"/>
    <n v="3"/>
    <x v="0"/>
    <n v="1"/>
    <n v="707"/>
    <n v="4"/>
    <x v="1"/>
    <n v="57"/>
    <n v="4"/>
    <x v="0"/>
    <s v="Sales Executive"/>
    <n v="2"/>
    <s v="Married"/>
    <x v="499"/>
    <n v="15678"/>
    <n v="0"/>
    <s v="Y"/>
    <x v="1"/>
    <n v="22"/>
    <n v="4"/>
    <n v="3"/>
    <x v="0"/>
    <n v="1"/>
    <n v="4"/>
    <n v="4"/>
    <n v="3"/>
    <n v="3"/>
    <n v="2"/>
    <x v="1"/>
    <n v="2"/>
  </r>
  <r>
    <n v="38"/>
    <x v="1"/>
    <x v="0"/>
    <n v="243"/>
    <x v="0"/>
    <n v="7"/>
    <n v="4"/>
    <x v="3"/>
    <n v="1"/>
    <n v="709"/>
    <n v="4"/>
    <x v="0"/>
    <n v="46"/>
    <n v="2"/>
    <x v="0"/>
    <s v="Sales Executive"/>
    <n v="4"/>
    <s v="Single"/>
    <x v="500"/>
    <n v="7791"/>
    <n v="0"/>
    <s v="Y"/>
    <x v="1"/>
    <n v="20"/>
    <n v="4"/>
    <n v="1"/>
    <x v="0"/>
    <n v="0"/>
    <n v="8"/>
    <n v="2"/>
    <n v="3"/>
    <n v="7"/>
    <n v="7"/>
    <x v="0"/>
    <n v="5"/>
  </r>
  <r>
    <n v="29"/>
    <x v="1"/>
    <x v="1"/>
    <n v="806"/>
    <x v="1"/>
    <n v="1"/>
    <n v="4"/>
    <x v="0"/>
    <n v="1"/>
    <n v="710"/>
    <n v="2"/>
    <x v="1"/>
    <n v="76"/>
    <n v="1"/>
    <x v="1"/>
    <s v="Research Scientist"/>
    <n v="4"/>
    <s v="Divorced"/>
    <x v="143"/>
    <n v="18959"/>
    <n v="1"/>
    <s v="Y"/>
    <x v="1"/>
    <n v="18"/>
    <n v="3"/>
    <n v="4"/>
    <x v="0"/>
    <n v="1"/>
    <n v="10"/>
    <n v="5"/>
    <n v="3"/>
    <n v="10"/>
    <n v="7"/>
    <x v="3"/>
    <n v="8"/>
  </r>
  <r>
    <n v="48"/>
    <x v="1"/>
    <x v="0"/>
    <n v="817"/>
    <x v="0"/>
    <n v="2"/>
    <n v="1"/>
    <x v="3"/>
    <n v="1"/>
    <n v="712"/>
    <n v="2"/>
    <x v="1"/>
    <n v="56"/>
    <n v="4"/>
    <x v="0"/>
    <s v="Sales Executive"/>
    <n v="2"/>
    <s v="Married"/>
    <x v="501"/>
    <n v="18597"/>
    <n v="3"/>
    <s v="Y"/>
    <x v="1"/>
    <n v="12"/>
    <n v="3"/>
    <n v="4"/>
    <x v="0"/>
    <n v="0"/>
    <n v="12"/>
    <n v="3"/>
    <n v="3"/>
    <n v="2"/>
    <n v="2"/>
    <x v="3"/>
    <n v="2"/>
  </r>
  <r>
    <n v="27"/>
    <x v="1"/>
    <x v="1"/>
    <n v="1410"/>
    <x v="0"/>
    <n v="3"/>
    <n v="1"/>
    <x v="2"/>
    <n v="1"/>
    <n v="714"/>
    <n v="4"/>
    <x v="0"/>
    <n v="71"/>
    <n v="4"/>
    <x v="0"/>
    <s v="Sales Executive"/>
    <n v="4"/>
    <s v="Divorced"/>
    <x v="502"/>
    <n v="16673"/>
    <n v="1"/>
    <s v="Y"/>
    <x v="0"/>
    <n v="20"/>
    <n v="4"/>
    <n v="2"/>
    <x v="0"/>
    <n v="2"/>
    <n v="6"/>
    <n v="3"/>
    <n v="3"/>
    <n v="6"/>
    <n v="5"/>
    <x v="0"/>
    <n v="4"/>
  </r>
  <r>
    <n v="37"/>
    <x v="1"/>
    <x v="0"/>
    <n v="1225"/>
    <x v="1"/>
    <n v="10"/>
    <n v="2"/>
    <x v="0"/>
    <n v="1"/>
    <n v="715"/>
    <n v="4"/>
    <x v="1"/>
    <n v="80"/>
    <n v="4"/>
    <x v="1"/>
    <s v="Research Scientist"/>
    <n v="4"/>
    <s v="Single"/>
    <x v="503"/>
    <n v="15232"/>
    <n v="3"/>
    <s v="Y"/>
    <x v="1"/>
    <n v="17"/>
    <n v="3"/>
    <n v="1"/>
    <x v="0"/>
    <n v="0"/>
    <n v="4"/>
    <n v="2"/>
    <n v="3"/>
    <n v="1"/>
    <n v="0"/>
    <x v="0"/>
    <n v="0"/>
  </r>
  <r>
    <n v="50"/>
    <x v="1"/>
    <x v="0"/>
    <n v="1207"/>
    <x v="1"/>
    <n v="28"/>
    <n v="1"/>
    <x v="2"/>
    <n v="1"/>
    <n v="716"/>
    <n v="4"/>
    <x v="1"/>
    <n v="74"/>
    <n v="4"/>
    <x v="1"/>
    <s v="Laboratory Technician"/>
    <n v="3"/>
    <s v="Married"/>
    <x v="504"/>
    <n v="3297"/>
    <n v="1"/>
    <s v="Y"/>
    <x v="0"/>
    <n v="11"/>
    <n v="3"/>
    <n v="3"/>
    <x v="0"/>
    <n v="3"/>
    <n v="20"/>
    <n v="3"/>
    <n v="3"/>
    <n v="20"/>
    <n v="8"/>
    <x v="2"/>
    <n v="8"/>
  </r>
  <r>
    <n v="34"/>
    <x v="1"/>
    <x v="0"/>
    <n v="1442"/>
    <x v="1"/>
    <n v="9"/>
    <n v="3"/>
    <x v="2"/>
    <n v="1"/>
    <n v="717"/>
    <n v="4"/>
    <x v="0"/>
    <n v="46"/>
    <n v="2"/>
    <x v="2"/>
    <s v="Healthcare Representative"/>
    <n v="2"/>
    <s v="Single"/>
    <x v="505"/>
    <n v="17654"/>
    <n v="1"/>
    <s v="Y"/>
    <x v="1"/>
    <n v="14"/>
    <n v="3"/>
    <n v="2"/>
    <x v="0"/>
    <n v="0"/>
    <n v="9"/>
    <n v="3"/>
    <n v="4"/>
    <n v="8"/>
    <n v="7"/>
    <x v="4"/>
    <n v="7"/>
  </r>
  <r>
    <n v="24"/>
    <x v="0"/>
    <x v="0"/>
    <n v="693"/>
    <x v="0"/>
    <n v="3"/>
    <n v="2"/>
    <x v="0"/>
    <n v="1"/>
    <n v="720"/>
    <n v="1"/>
    <x v="0"/>
    <n v="65"/>
    <n v="3"/>
    <x v="0"/>
    <s v="Sales Executive"/>
    <n v="3"/>
    <s v="Single"/>
    <x v="506"/>
    <n v="24785"/>
    <n v="9"/>
    <s v="Y"/>
    <x v="1"/>
    <n v="14"/>
    <n v="3"/>
    <n v="1"/>
    <x v="0"/>
    <n v="0"/>
    <n v="4"/>
    <n v="3"/>
    <n v="3"/>
    <n v="2"/>
    <n v="2"/>
    <x v="3"/>
    <n v="0"/>
  </r>
  <r>
    <n v="39"/>
    <x v="1"/>
    <x v="0"/>
    <n v="408"/>
    <x v="1"/>
    <n v="2"/>
    <n v="4"/>
    <x v="4"/>
    <n v="1"/>
    <n v="721"/>
    <n v="4"/>
    <x v="0"/>
    <n v="80"/>
    <n v="2"/>
    <x v="0"/>
    <s v="Healthcare Representative"/>
    <n v="3"/>
    <s v="Single"/>
    <x v="507"/>
    <n v="20978"/>
    <n v="1"/>
    <s v="Y"/>
    <x v="1"/>
    <n v="11"/>
    <n v="3"/>
    <n v="1"/>
    <x v="0"/>
    <n v="0"/>
    <n v="20"/>
    <n v="4"/>
    <n v="3"/>
    <n v="20"/>
    <n v="7"/>
    <x v="14"/>
    <n v="10"/>
  </r>
  <r>
    <n v="32"/>
    <x v="1"/>
    <x v="0"/>
    <n v="929"/>
    <x v="0"/>
    <n v="10"/>
    <n v="3"/>
    <x v="3"/>
    <n v="1"/>
    <n v="722"/>
    <n v="4"/>
    <x v="1"/>
    <n v="55"/>
    <n v="3"/>
    <x v="0"/>
    <s v="Sales Executive"/>
    <n v="4"/>
    <s v="Single"/>
    <x v="508"/>
    <n v="21703"/>
    <n v="1"/>
    <s v="Y"/>
    <x v="1"/>
    <n v="12"/>
    <n v="3"/>
    <n v="4"/>
    <x v="0"/>
    <n v="0"/>
    <n v="10"/>
    <n v="2"/>
    <n v="2"/>
    <n v="10"/>
    <n v="7"/>
    <x v="0"/>
    <n v="8"/>
  </r>
  <r>
    <n v="50"/>
    <x v="0"/>
    <x v="1"/>
    <n v="562"/>
    <x v="0"/>
    <n v="8"/>
    <n v="2"/>
    <x v="4"/>
    <n v="1"/>
    <n v="723"/>
    <n v="2"/>
    <x v="1"/>
    <n v="50"/>
    <n v="3"/>
    <x v="0"/>
    <s v="Sales Executive"/>
    <n v="3"/>
    <s v="Married"/>
    <x v="509"/>
    <n v="23452"/>
    <n v="3"/>
    <s v="Y"/>
    <x v="0"/>
    <n v="14"/>
    <n v="3"/>
    <n v="1"/>
    <x v="0"/>
    <n v="1"/>
    <n v="18"/>
    <n v="4"/>
    <n v="3"/>
    <n v="4"/>
    <n v="3"/>
    <x v="1"/>
    <n v="3"/>
  </r>
  <r>
    <n v="38"/>
    <x v="1"/>
    <x v="0"/>
    <n v="827"/>
    <x v="1"/>
    <n v="1"/>
    <n v="4"/>
    <x v="0"/>
    <n v="1"/>
    <n v="724"/>
    <n v="2"/>
    <x v="0"/>
    <n v="33"/>
    <n v="4"/>
    <x v="0"/>
    <s v="Healthcare Representative"/>
    <n v="4"/>
    <s v="Single"/>
    <x v="510"/>
    <n v="19383"/>
    <n v="0"/>
    <s v="Y"/>
    <x v="1"/>
    <n v="13"/>
    <n v="3"/>
    <n v="3"/>
    <x v="0"/>
    <n v="0"/>
    <n v="10"/>
    <n v="4"/>
    <n v="2"/>
    <n v="9"/>
    <n v="7"/>
    <x v="1"/>
    <n v="8"/>
  </r>
  <r>
    <n v="27"/>
    <x v="1"/>
    <x v="0"/>
    <n v="608"/>
    <x v="1"/>
    <n v="1"/>
    <n v="2"/>
    <x v="0"/>
    <n v="1"/>
    <n v="725"/>
    <n v="3"/>
    <x v="0"/>
    <n v="68"/>
    <n v="3"/>
    <x v="2"/>
    <s v="Manufacturing Director"/>
    <n v="1"/>
    <s v="Married"/>
    <x v="511"/>
    <n v="6009"/>
    <n v="1"/>
    <s v="Y"/>
    <x v="1"/>
    <n v="11"/>
    <n v="3"/>
    <n v="4"/>
    <x v="0"/>
    <n v="0"/>
    <n v="9"/>
    <n v="3"/>
    <n v="3"/>
    <n v="9"/>
    <n v="7"/>
    <x v="0"/>
    <n v="7"/>
  </r>
  <r>
    <n v="32"/>
    <x v="1"/>
    <x v="0"/>
    <n v="1018"/>
    <x v="1"/>
    <n v="3"/>
    <n v="2"/>
    <x v="0"/>
    <n v="1"/>
    <n v="727"/>
    <n v="3"/>
    <x v="0"/>
    <n v="39"/>
    <n v="3"/>
    <x v="2"/>
    <s v="Research Director"/>
    <n v="4"/>
    <s v="Single"/>
    <x v="512"/>
    <n v="19373"/>
    <n v="3"/>
    <s v="Y"/>
    <x v="1"/>
    <n v="15"/>
    <n v="3"/>
    <n v="4"/>
    <x v="0"/>
    <n v="0"/>
    <n v="10"/>
    <n v="6"/>
    <n v="3"/>
    <n v="7"/>
    <n v="7"/>
    <x v="4"/>
    <n v="7"/>
  </r>
  <r>
    <n v="47"/>
    <x v="1"/>
    <x v="0"/>
    <n v="703"/>
    <x v="0"/>
    <n v="14"/>
    <n v="4"/>
    <x v="3"/>
    <n v="1"/>
    <n v="728"/>
    <n v="4"/>
    <x v="1"/>
    <n v="42"/>
    <n v="3"/>
    <x v="0"/>
    <s v="Sales Executive"/>
    <n v="1"/>
    <s v="Single"/>
    <x v="513"/>
    <n v="11825"/>
    <n v="2"/>
    <s v="Y"/>
    <x v="1"/>
    <n v="12"/>
    <n v="3"/>
    <n v="4"/>
    <x v="0"/>
    <n v="0"/>
    <n v="20"/>
    <n v="2"/>
    <n v="3"/>
    <n v="7"/>
    <n v="7"/>
    <x v="1"/>
    <n v="7"/>
  </r>
  <r>
    <n v="40"/>
    <x v="1"/>
    <x v="1"/>
    <n v="580"/>
    <x v="0"/>
    <n v="5"/>
    <n v="4"/>
    <x v="0"/>
    <n v="1"/>
    <n v="729"/>
    <n v="4"/>
    <x v="1"/>
    <n v="48"/>
    <n v="2"/>
    <x v="2"/>
    <s v="Sales Executive"/>
    <n v="1"/>
    <s v="Married"/>
    <x v="514"/>
    <n v="23772"/>
    <n v="5"/>
    <s v="Y"/>
    <x v="0"/>
    <n v="21"/>
    <n v="4"/>
    <n v="3"/>
    <x v="0"/>
    <n v="1"/>
    <n v="20"/>
    <n v="2"/>
    <n v="3"/>
    <n v="18"/>
    <n v="13"/>
    <x v="1"/>
    <n v="12"/>
  </r>
  <r>
    <n v="53"/>
    <x v="1"/>
    <x v="0"/>
    <n v="970"/>
    <x v="1"/>
    <n v="7"/>
    <n v="3"/>
    <x v="0"/>
    <n v="1"/>
    <n v="730"/>
    <n v="3"/>
    <x v="1"/>
    <n v="59"/>
    <n v="4"/>
    <x v="3"/>
    <s v="Research Director"/>
    <n v="3"/>
    <s v="Married"/>
    <x v="515"/>
    <n v="13514"/>
    <n v="3"/>
    <s v="Y"/>
    <x v="1"/>
    <n v="19"/>
    <n v="3"/>
    <n v="3"/>
    <x v="0"/>
    <n v="0"/>
    <n v="32"/>
    <n v="3"/>
    <n v="3"/>
    <n v="5"/>
    <n v="1"/>
    <x v="1"/>
    <n v="3"/>
  </r>
  <r>
    <n v="41"/>
    <x v="1"/>
    <x v="0"/>
    <n v="427"/>
    <x v="2"/>
    <n v="10"/>
    <n v="4"/>
    <x v="5"/>
    <n v="1"/>
    <n v="731"/>
    <n v="2"/>
    <x v="1"/>
    <n v="73"/>
    <n v="2"/>
    <x v="4"/>
    <s v="Manager"/>
    <n v="4"/>
    <s v="Divorced"/>
    <x v="516"/>
    <n v="8861"/>
    <n v="3"/>
    <s v="Y"/>
    <x v="1"/>
    <n v="15"/>
    <n v="3"/>
    <n v="2"/>
    <x v="0"/>
    <n v="3"/>
    <n v="23"/>
    <n v="2"/>
    <n v="2"/>
    <n v="21"/>
    <n v="6"/>
    <x v="12"/>
    <n v="6"/>
  </r>
  <r>
    <n v="60"/>
    <x v="1"/>
    <x v="0"/>
    <n v="1179"/>
    <x v="0"/>
    <n v="16"/>
    <n v="4"/>
    <x v="3"/>
    <n v="1"/>
    <n v="732"/>
    <n v="1"/>
    <x v="1"/>
    <n v="84"/>
    <n v="3"/>
    <x v="0"/>
    <s v="Sales Executive"/>
    <n v="1"/>
    <s v="Single"/>
    <x v="517"/>
    <n v="11924"/>
    <n v="8"/>
    <s v="Y"/>
    <x v="1"/>
    <n v="14"/>
    <n v="3"/>
    <n v="4"/>
    <x v="0"/>
    <n v="0"/>
    <n v="10"/>
    <n v="1"/>
    <n v="3"/>
    <n v="2"/>
    <n v="2"/>
    <x v="3"/>
    <n v="2"/>
  </r>
  <r>
    <n v="27"/>
    <x v="1"/>
    <x v="1"/>
    <n v="294"/>
    <x v="1"/>
    <n v="10"/>
    <n v="2"/>
    <x v="0"/>
    <n v="1"/>
    <n v="733"/>
    <n v="4"/>
    <x v="1"/>
    <n v="32"/>
    <n v="3"/>
    <x v="2"/>
    <s v="Manufacturing Director"/>
    <n v="1"/>
    <s v="Divorced"/>
    <x v="518"/>
    <n v="4809"/>
    <n v="1"/>
    <s v="Y"/>
    <x v="1"/>
    <n v="21"/>
    <n v="4"/>
    <n v="3"/>
    <x v="0"/>
    <n v="2"/>
    <n v="9"/>
    <n v="4"/>
    <n v="2"/>
    <n v="9"/>
    <n v="7"/>
    <x v="1"/>
    <n v="7"/>
  </r>
  <r>
    <n v="41"/>
    <x v="1"/>
    <x v="0"/>
    <n v="314"/>
    <x v="2"/>
    <n v="1"/>
    <n v="3"/>
    <x v="5"/>
    <n v="1"/>
    <n v="734"/>
    <n v="4"/>
    <x v="1"/>
    <n v="59"/>
    <n v="2"/>
    <x v="4"/>
    <s v="Manager"/>
    <n v="3"/>
    <s v="Married"/>
    <x v="519"/>
    <n v="19562"/>
    <n v="1"/>
    <s v="Y"/>
    <x v="1"/>
    <n v="12"/>
    <n v="3"/>
    <n v="2"/>
    <x v="0"/>
    <n v="1"/>
    <n v="22"/>
    <n v="3"/>
    <n v="3"/>
    <n v="22"/>
    <n v="7"/>
    <x v="3"/>
    <n v="10"/>
  </r>
  <r>
    <n v="50"/>
    <x v="1"/>
    <x v="0"/>
    <n v="316"/>
    <x v="0"/>
    <n v="8"/>
    <n v="4"/>
    <x v="3"/>
    <n v="1"/>
    <n v="738"/>
    <n v="4"/>
    <x v="1"/>
    <n v="54"/>
    <n v="3"/>
    <x v="1"/>
    <s v="Sales Representative"/>
    <n v="2"/>
    <s v="Married"/>
    <x v="520"/>
    <n v="9983"/>
    <n v="7"/>
    <s v="Y"/>
    <x v="1"/>
    <n v="15"/>
    <n v="3"/>
    <n v="4"/>
    <x v="0"/>
    <n v="1"/>
    <n v="4"/>
    <n v="2"/>
    <n v="3"/>
    <n v="2"/>
    <n v="2"/>
    <x v="3"/>
    <n v="2"/>
  </r>
  <r>
    <n v="28"/>
    <x v="0"/>
    <x v="0"/>
    <n v="654"/>
    <x v="1"/>
    <n v="1"/>
    <n v="2"/>
    <x v="0"/>
    <n v="1"/>
    <n v="741"/>
    <n v="1"/>
    <x v="0"/>
    <n v="67"/>
    <n v="1"/>
    <x v="1"/>
    <s v="Research Scientist"/>
    <n v="2"/>
    <s v="Single"/>
    <x v="521"/>
    <n v="3872"/>
    <n v="7"/>
    <s v="Y"/>
    <x v="0"/>
    <n v="13"/>
    <n v="3"/>
    <n v="4"/>
    <x v="0"/>
    <n v="0"/>
    <n v="10"/>
    <n v="4"/>
    <n v="3"/>
    <n v="7"/>
    <n v="7"/>
    <x v="2"/>
    <n v="7"/>
  </r>
  <r>
    <n v="36"/>
    <x v="1"/>
    <x v="2"/>
    <n v="427"/>
    <x v="1"/>
    <n v="8"/>
    <n v="3"/>
    <x v="0"/>
    <n v="1"/>
    <n v="742"/>
    <n v="1"/>
    <x v="0"/>
    <n v="63"/>
    <n v="4"/>
    <x v="2"/>
    <s v="Research Director"/>
    <n v="1"/>
    <s v="Married"/>
    <x v="522"/>
    <n v="20335"/>
    <n v="9"/>
    <s v="Y"/>
    <x v="1"/>
    <n v="14"/>
    <n v="3"/>
    <n v="1"/>
    <x v="0"/>
    <n v="1"/>
    <n v="10"/>
    <n v="2"/>
    <n v="3"/>
    <n v="8"/>
    <n v="7"/>
    <x v="0"/>
    <n v="5"/>
  </r>
  <r>
    <n v="38"/>
    <x v="1"/>
    <x v="0"/>
    <n v="168"/>
    <x v="1"/>
    <n v="1"/>
    <n v="3"/>
    <x v="0"/>
    <n v="1"/>
    <n v="743"/>
    <n v="3"/>
    <x v="0"/>
    <n v="81"/>
    <n v="3"/>
    <x v="2"/>
    <s v="Manufacturing Director"/>
    <n v="3"/>
    <s v="Single"/>
    <x v="523"/>
    <n v="15397"/>
    <n v="4"/>
    <s v="Y"/>
    <x v="0"/>
    <n v="14"/>
    <n v="3"/>
    <n v="4"/>
    <x v="0"/>
    <n v="0"/>
    <n v="10"/>
    <n v="4"/>
    <n v="4"/>
    <n v="1"/>
    <n v="0"/>
    <x v="0"/>
    <n v="0"/>
  </r>
  <r>
    <n v="44"/>
    <x v="1"/>
    <x v="2"/>
    <n v="381"/>
    <x v="1"/>
    <n v="24"/>
    <n v="3"/>
    <x v="2"/>
    <n v="1"/>
    <n v="744"/>
    <n v="1"/>
    <x v="1"/>
    <n v="49"/>
    <n v="1"/>
    <x v="1"/>
    <s v="Laboratory Technician"/>
    <n v="3"/>
    <s v="Single"/>
    <x v="524"/>
    <n v="2104"/>
    <n v="2"/>
    <s v="Y"/>
    <x v="1"/>
    <n v="14"/>
    <n v="3"/>
    <n v="3"/>
    <x v="0"/>
    <n v="0"/>
    <n v="9"/>
    <n v="5"/>
    <n v="3"/>
    <n v="5"/>
    <n v="2"/>
    <x v="1"/>
    <n v="4"/>
  </r>
  <r>
    <n v="47"/>
    <x v="1"/>
    <x v="1"/>
    <n v="217"/>
    <x v="0"/>
    <n v="3"/>
    <n v="3"/>
    <x v="2"/>
    <n v="1"/>
    <n v="746"/>
    <n v="4"/>
    <x v="0"/>
    <n v="49"/>
    <n v="3"/>
    <x v="3"/>
    <s v="Sales Executive"/>
    <n v="3"/>
    <s v="Divorced"/>
    <x v="525"/>
    <n v="10225"/>
    <n v="9"/>
    <s v="Y"/>
    <x v="0"/>
    <n v="12"/>
    <n v="3"/>
    <n v="4"/>
    <x v="0"/>
    <n v="2"/>
    <n v="28"/>
    <n v="2"/>
    <n v="2"/>
    <n v="22"/>
    <n v="2"/>
    <x v="14"/>
    <n v="13"/>
  </r>
  <r>
    <n v="30"/>
    <x v="1"/>
    <x v="0"/>
    <n v="501"/>
    <x v="0"/>
    <n v="27"/>
    <n v="5"/>
    <x v="3"/>
    <n v="1"/>
    <n v="747"/>
    <n v="3"/>
    <x v="1"/>
    <n v="99"/>
    <n v="3"/>
    <x v="0"/>
    <s v="Sales Executive"/>
    <n v="4"/>
    <s v="Divorced"/>
    <x v="367"/>
    <n v="25275"/>
    <n v="7"/>
    <s v="Y"/>
    <x v="1"/>
    <n v="23"/>
    <n v="4"/>
    <n v="4"/>
    <x v="0"/>
    <n v="1"/>
    <n v="10"/>
    <n v="2"/>
    <n v="2"/>
    <n v="8"/>
    <n v="7"/>
    <x v="4"/>
    <n v="7"/>
  </r>
  <r>
    <n v="29"/>
    <x v="1"/>
    <x v="0"/>
    <n v="1396"/>
    <x v="0"/>
    <n v="10"/>
    <n v="3"/>
    <x v="0"/>
    <n v="1"/>
    <n v="749"/>
    <n v="3"/>
    <x v="1"/>
    <n v="99"/>
    <n v="3"/>
    <x v="1"/>
    <s v="Sales Representative"/>
    <n v="3"/>
    <s v="Single"/>
    <x v="526"/>
    <n v="2755"/>
    <n v="1"/>
    <s v="Y"/>
    <x v="1"/>
    <n v="11"/>
    <n v="3"/>
    <n v="3"/>
    <x v="0"/>
    <n v="0"/>
    <n v="1"/>
    <n v="6"/>
    <n v="3"/>
    <n v="1"/>
    <n v="0"/>
    <x v="0"/>
    <n v="0"/>
  </r>
  <r>
    <n v="42"/>
    <x v="0"/>
    <x v="1"/>
    <n v="933"/>
    <x v="1"/>
    <n v="19"/>
    <n v="3"/>
    <x v="2"/>
    <n v="1"/>
    <n v="752"/>
    <n v="3"/>
    <x v="1"/>
    <n v="57"/>
    <n v="4"/>
    <x v="1"/>
    <s v="Research Scientist"/>
    <n v="3"/>
    <s v="Divorced"/>
    <x v="527"/>
    <n v="20366"/>
    <n v="6"/>
    <s v="Y"/>
    <x v="0"/>
    <n v="12"/>
    <n v="3"/>
    <n v="4"/>
    <x v="0"/>
    <n v="0"/>
    <n v="7"/>
    <n v="2"/>
    <n v="3"/>
    <n v="2"/>
    <n v="2"/>
    <x v="3"/>
    <n v="2"/>
  </r>
  <r>
    <n v="43"/>
    <x v="1"/>
    <x v="1"/>
    <n v="775"/>
    <x v="0"/>
    <n v="15"/>
    <n v="3"/>
    <x v="0"/>
    <n v="1"/>
    <n v="754"/>
    <n v="4"/>
    <x v="1"/>
    <n v="47"/>
    <n v="2"/>
    <x v="0"/>
    <s v="Sales Executive"/>
    <n v="4"/>
    <s v="Married"/>
    <x v="197"/>
    <n v="23683"/>
    <n v="3"/>
    <s v="Y"/>
    <x v="1"/>
    <n v="18"/>
    <n v="3"/>
    <n v="3"/>
    <x v="0"/>
    <n v="1"/>
    <n v="7"/>
    <n v="5"/>
    <n v="3"/>
    <n v="2"/>
    <n v="2"/>
    <x v="3"/>
    <n v="2"/>
  </r>
  <r>
    <n v="34"/>
    <x v="1"/>
    <x v="0"/>
    <n v="970"/>
    <x v="1"/>
    <n v="8"/>
    <n v="2"/>
    <x v="2"/>
    <n v="1"/>
    <n v="757"/>
    <n v="2"/>
    <x v="0"/>
    <n v="96"/>
    <n v="3"/>
    <x v="0"/>
    <s v="Healthcare Representative"/>
    <n v="3"/>
    <s v="Single"/>
    <x v="528"/>
    <n v="7360"/>
    <n v="3"/>
    <s v="Y"/>
    <x v="1"/>
    <n v="11"/>
    <n v="3"/>
    <n v="4"/>
    <x v="0"/>
    <n v="0"/>
    <n v="10"/>
    <n v="2"/>
    <n v="3"/>
    <n v="5"/>
    <n v="1"/>
    <x v="5"/>
    <n v="3"/>
  </r>
  <r>
    <n v="23"/>
    <x v="1"/>
    <x v="0"/>
    <n v="650"/>
    <x v="1"/>
    <n v="9"/>
    <n v="1"/>
    <x v="2"/>
    <n v="1"/>
    <n v="758"/>
    <n v="2"/>
    <x v="1"/>
    <n v="37"/>
    <n v="3"/>
    <x v="1"/>
    <s v="Laboratory Technician"/>
    <n v="1"/>
    <s v="Married"/>
    <x v="172"/>
    <n v="4344"/>
    <n v="1"/>
    <s v="Y"/>
    <x v="1"/>
    <n v="14"/>
    <n v="3"/>
    <n v="4"/>
    <x v="0"/>
    <n v="1"/>
    <n v="5"/>
    <n v="2"/>
    <n v="4"/>
    <n v="4"/>
    <n v="3"/>
    <x v="0"/>
    <n v="2"/>
  </r>
  <r>
    <n v="39"/>
    <x v="1"/>
    <x v="0"/>
    <n v="141"/>
    <x v="2"/>
    <n v="3"/>
    <n v="3"/>
    <x v="5"/>
    <n v="1"/>
    <n v="760"/>
    <n v="3"/>
    <x v="0"/>
    <n v="44"/>
    <n v="4"/>
    <x v="0"/>
    <s v="Human Resources"/>
    <n v="2"/>
    <s v="Married"/>
    <x v="529"/>
    <n v="18767"/>
    <n v="9"/>
    <s v="Y"/>
    <x v="1"/>
    <n v="15"/>
    <n v="3"/>
    <n v="3"/>
    <x v="0"/>
    <n v="1"/>
    <n v="12"/>
    <n v="3"/>
    <n v="1"/>
    <n v="8"/>
    <n v="3"/>
    <x v="2"/>
    <n v="6"/>
  </r>
  <r>
    <n v="56"/>
    <x v="1"/>
    <x v="0"/>
    <n v="832"/>
    <x v="1"/>
    <n v="9"/>
    <n v="3"/>
    <x v="2"/>
    <n v="1"/>
    <n v="762"/>
    <n v="3"/>
    <x v="1"/>
    <n v="81"/>
    <n v="3"/>
    <x v="3"/>
    <s v="Healthcare Representative"/>
    <n v="4"/>
    <s v="Married"/>
    <x v="530"/>
    <n v="20420"/>
    <n v="7"/>
    <s v="Y"/>
    <x v="1"/>
    <n v="11"/>
    <n v="3"/>
    <n v="3"/>
    <x v="0"/>
    <n v="0"/>
    <n v="30"/>
    <n v="1"/>
    <n v="2"/>
    <n v="10"/>
    <n v="7"/>
    <x v="1"/>
    <n v="1"/>
  </r>
  <r>
    <n v="40"/>
    <x v="1"/>
    <x v="0"/>
    <n v="804"/>
    <x v="1"/>
    <n v="2"/>
    <n v="1"/>
    <x v="2"/>
    <n v="1"/>
    <n v="763"/>
    <n v="4"/>
    <x v="0"/>
    <n v="86"/>
    <n v="2"/>
    <x v="1"/>
    <s v="Research Scientist"/>
    <n v="4"/>
    <s v="Single"/>
    <x v="531"/>
    <n v="22929"/>
    <n v="0"/>
    <s v="Y"/>
    <x v="0"/>
    <n v="20"/>
    <n v="4"/>
    <n v="4"/>
    <x v="0"/>
    <n v="0"/>
    <n v="5"/>
    <n v="2"/>
    <n v="2"/>
    <n v="4"/>
    <n v="2"/>
    <x v="3"/>
    <n v="3"/>
  </r>
  <r>
    <n v="27"/>
    <x v="1"/>
    <x v="0"/>
    <n v="975"/>
    <x v="1"/>
    <n v="7"/>
    <n v="3"/>
    <x v="2"/>
    <n v="1"/>
    <n v="764"/>
    <n v="4"/>
    <x v="0"/>
    <n v="55"/>
    <n v="2"/>
    <x v="0"/>
    <s v="Healthcare Representative"/>
    <n v="1"/>
    <s v="Single"/>
    <x v="445"/>
    <n v="23398"/>
    <n v="8"/>
    <s v="Y"/>
    <x v="1"/>
    <n v="19"/>
    <n v="3"/>
    <n v="1"/>
    <x v="0"/>
    <n v="0"/>
    <n v="9"/>
    <n v="2"/>
    <n v="1"/>
    <n v="7"/>
    <n v="6"/>
    <x v="0"/>
    <n v="7"/>
  </r>
  <r>
    <n v="29"/>
    <x v="1"/>
    <x v="0"/>
    <n v="1090"/>
    <x v="0"/>
    <n v="10"/>
    <n v="3"/>
    <x v="3"/>
    <n v="1"/>
    <n v="766"/>
    <n v="4"/>
    <x v="1"/>
    <n v="83"/>
    <n v="3"/>
    <x v="1"/>
    <s v="Sales Representative"/>
    <n v="2"/>
    <s v="Divorced"/>
    <x v="532"/>
    <n v="17967"/>
    <n v="1"/>
    <s v="Y"/>
    <x v="1"/>
    <n v="14"/>
    <n v="3"/>
    <n v="4"/>
    <x v="0"/>
    <n v="2"/>
    <n v="2"/>
    <n v="2"/>
    <n v="3"/>
    <n v="2"/>
    <n v="2"/>
    <x v="3"/>
    <n v="2"/>
  </r>
  <r>
    <n v="53"/>
    <x v="1"/>
    <x v="0"/>
    <n v="346"/>
    <x v="1"/>
    <n v="6"/>
    <n v="3"/>
    <x v="0"/>
    <n v="1"/>
    <n v="769"/>
    <n v="4"/>
    <x v="1"/>
    <n v="86"/>
    <n v="3"/>
    <x v="0"/>
    <s v="Laboratory Technician"/>
    <n v="4"/>
    <s v="Single"/>
    <x v="533"/>
    <n v="10919"/>
    <n v="2"/>
    <s v="Y"/>
    <x v="1"/>
    <n v="17"/>
    <n v="3"/>
    <n v="4"/>
    <x v="0"/>
    <n v="0"/>
    <n v="19"/>
    <n v="4"/>
    <n v="3"/>
    <n v="2"/>
    <n v="2"/>
    <x v="3"/>
    <n v="2"/>
  </r>
  <r>
    <n v="35"/>
    <x v="1"/>
    <x v="2"/>
    <n v="1225"/>
    <x v="1"/>
    <n v="2"/>
    <n v="4"/>
    <x v="0"/>
    <n v="1"/>
    <n v="771"/>
    <n v="4"/>
    <x v="0"/>
    <n v="61"/>
    <n v="3"/>
    <x v="0"/>
    <s v="Healthcare Representative"/>
    <n v="1"/>
    <s v="Divorced"/>
    <x v="534"/>
    <n v="4761"/>
    <n v="2"/>
    <s v="Y"/>
    <x v="1"/>
    <n v="11"/>
    <n v="3"/>
    <n v="1"/>
    <x v="0"/>
    <n v="1"/>
    <n v="16"/>
    <n v="2"/>
    <n v="4"/>
    <n v="1"/>
    <n v="0"/>
    <x v="0"/>
    <n v="0"/>
  </r>
  <r>
    <n v="32"/>
    <x v="1"/>
    <x v="1"/>
    <n v="430"/>
    <x v="1"/>
    <n v="24"/>
    <n v="4"/>
    <x v="0"/>
    <n v="1"/>
    <n v="772"/>
    <n v="1"/>
    <x v="1"/>
    <n v="80"/>
    <n v="3"/>
    <x v="0"/>
    <s v="Laboratory Technician"/>
    <n v="4"/>
    <s v="Married"/>
    <x v="535"/>
    <n v="21146"/>
    <n v="1"/>
    <s v="Y"/>
    <x v="1"/>
    <n v="15"/>
    <n v="3"/>
    <n v="4"/>
    <x v="0"/>
    <n v="2"/>
    <n v="10"/>
    <n v="2"/>
    <n v="3"/>
    <n v="10"/>
    <n v="8"/>
    <x v="5"/>
    <n v="7"/>
  </r>
  <r>
    <n v="38"/>
    <x v="1"/>
    <x v="0"/>
    <n v="268"/>
    <x v="1"/>
    <n v="2"/>
    <n v="5"/>
    <x v="2"/>
    <n v="1"/>
    <n v="773"/>
    <n v="4"/>
    <x v="1"/>
    <n v="92"/>
    <n v="3"/>
    <x v="1"/>
    <s v="Research Scientist"/>
    <n v="3"/>
    <s v="Married"/>
    <x v="536"/>
    <n v="20471"/>
    <n v="6"/>
    <s v="Y"/>
    <x v="0"/>
    <n v="13"/>
    <n v="3"/>
    <n v="2"/>
    <x v="0"/>
    <n v="1"/>
    <n v="6"/>
    <n v="0"/>
    <n v="1"/>
    <n v="1"/>
    <n v="0"/>
    <x v="0"/>
    <n v="1"/>
  </r>
  <r>
    <n v="34"/>
    <x v="1"/>
    <x v="0"/>
    <n v="167"/>
    <x v="1"/>
    <n v="8"/>
    <n v="5"/>
    <x v="0"/>
    <n v="1"/>
    <n v="775"/>
    <n v="2"/>
    <x v="0"/>
    <n v="32"/>
    <n v="3"/>
    <x v="0"/>
    <s v="Manufacturing Director"/>
    <n v="1"/>
    <s v="Divorced"/>
    <x v="537"/>
    <n v="4187"/>
    <n v="3"/>
    <s v="Y"/>
    <x v="1"/>
    <n v="14"/>
    <n v="3"/>
    <n v="3"/>
    <x v="0"/>
    <n v="1"/>
    <n v="7"/>
    <n v="3"/>
    <n v="3"/>
    <n v="0"/>
    <n v="0"/>
    <x v="0"/>
    <n v="0"/>
  </r>
  <r>
    <n v="52"/>
    <x v="1"/>
    <x v="0"/>
    <n v="621"/>
    <x v="0"/>
    <n v="3"/>
    <n v="4"/>
    <x v="3"/>
    <n v="1"/>
    <n v="776"/>
    <n v="3"/>
    <x v="1"/>
    <n v="31"/>
    <n v="2"/>
    <x v="3"/>
    <s v="Manager"/>
    <n v="1"/>
    <s v="Married"/>
    <x v="538"/>
    <n v="10084"/>
    <n v="1"/>
    <s v="Y"/>
    <x v="1"/>
    <n v="11"/>
    <n v="3"/>
    <n v="1"/>
    <x v="0"/>
    <n v="0"/>
    <n v="34"/>
    <n v="3"/>
    <n v="4"/>
    <n v="34"/>
    <n v="6"/>
    <x v="1"/>
    <n v="16"/>
  </r>
  <r>
    <n v="33"/>
    <x v="0"/>
    <x v="0"/>
    <n v="527"/>
    <x v="1"/>
    <n v="1"/>
    <n v="4"/>
    <x v="1"/>
    <n v="1"/>
    <n v="780"/>
    <n v="4"/>
    <x v="1"/>
    <n v="63"/>
    <n v="3"/>
    <x v="1"/>
    <s v="Research Scientist"/>
    <n v="4"/>
    <s v="Single"/>
    <x v="539"/>
    <n v="5207"/>
    <n v="1"/>
    <s v="Y"/>
    <x v="0"/>
    <n v="13"/>
    <n v="3"/>
    <n v="3"/>
    <x v="0"/>
    <n v="0"/>
    <n v="10"/>
    <n v="2"/>
    <n v="2"/>
    <n v="10"/>
    <n v="9"/>
    <x v="4"/>
    <n v="8"/>
  </r>
  <r>
    <n v="25"/>
    <x v="1"/>
    <x v="0"/>
    <n v="883"/>
    <x v="0"/>
    <n v="26"/>
    <n v="1"/>
    <x v="2"/>
    <n v="1"/>
    <n v="781"/>
    <n v="3"/>
    <x v="0"/>
    <n v="32"/>
    <n v="3"/>
    <x v="0"/>
    <s v="Sales Executive"/>
    <n v="4"/>
    <s v="Single"/>
    <x v="540"/>
    <n v="22807"/>
    <n v="1"/>
    <s v="Y"/>
    <x v="1"/>
    <n v="23"/>
    <n v="4"/>
    <n v="2"/>
    <x v="0"/>
    <n v="0"/>
    <n v="6"/>
    <n v="5"/>
    <n v="2"/>
    <n v="6"/>
    <n v="5"/>
    <x v="1"/>
    <n v="4"/>
  </r>
  <r>
    <n v="45"/>
    <x v="1"/>
    <x v="0"/>
    <n v="954"/>
    <x v="0"/>
    <n v="2"/>
    <n v="2"/>
    <x v="4"/>
    <n v="1"/>
    <n v="783"/>
    <n v="2"/>
    <x v="1"/>
    <n v="46"/>
    <n v="1"/>
    <x v="0"/>
    <s v="Sales Representative"/>
    <n v="3"/>
    <s v="Single"/>
    <x v="541"/>
    <n v="12388"/>
    <n v="0"/>
    <s v="Y"/>
    <x v="1"/>
    <n v="13"/>
    <n v="3"/>
    <n v="1"/>
    <x v="0"/>
    <n v="0"/>
    <n v="9"/>
    <n v="3"/>
    <n v="3"/>
    <n v="8"/>
    <n v="7"/>
    <x v="2"/>
    <n v="1"/>
  </r>
  <r>
    <n v="23"/>
    <x v="1"/>
    <x v="0"/>
    <n v="310"/>
    <x v="1"/>
    <n v="10"/>
    <n v="1"/>
    <x v="2"/>
    <n v="1"/>
    <n v="784"/>
    <n v="1"/>
    <x v="1"/>
    <n v="79"/>
    <n v="4"/>
    <x v="1"/>
    <s v="Research Scientist"/>
    <n v="3"/>
    <s v="Single"/>
    <x v="542"/>
    <n v="19630"/>
    <n v="1"/>
    <s v="Y"/>
    <x v="1"/>
    <n v="18"/>
    <n v="3"/>
    <n v="4"/>
    <x v="0"/>
    <n v="0"/>
    <n v="2"/>
    <n v="3"/>
    <n v="3"/>
    <n v="2"/>
    <n v="2"/>
    <x v="0"/>
    <n v="2"/>
  </r>
  <r>
    <n v="47"/>
    <x v="0"/>
    <x v="1"/>
    <n v="719"/>
    <x v="0"/>
    <n v="27"/>
    <n v="2"/>
    <x v="0"/>
    <n v="1"/>
    <n v="785"/>
    <n v="2"/>
    <x v="0"/>
    <n v="77"/>
    <n v="4"/>
    <x v="0"/>
    <s v="Sales Executive"/>
    <n v="3"/>
    <s v="Single"/>
    <x v="271"/>
    <n v="10339"/>
    <n v="4"/>
    <s v="Y"/>
    <x v="0"/>
    <n v="12"/>
    <n v="3"/>
    <n v="4"/>
    <x v="0"/>
    <n v="0"/>
    <n v="8"/>
    <n v="2"/>
    <n v="3"/>
    <n v="5"/>
    <n v="4"/>
    <x v="1"/>
    <n v="3"/>
  </r>
  <r>
    <n v="34"/>
    <x v="1"/>
    <x v="0"/>
    <n v="304"/>
    <x v="0"/>
    <n v="2"/>
    <n v="3"/>
    <x v="1"/>
    <n v="1"/>
    <n v="786"/>
    <n v="4"/>
    <x v="1"/>
    <n v="60"/>
    <n v="3"/>
    <x v="0"/>
    <s v="Sales Executive"/>
    <n v="4"/>
    <s v="Single"/>
    <x v="543"/>
    <n v="18686"/>
    <n v="1"/>
    <s v="Y"/>
    <x v="1"/>
    <n v="22"/>
    <n v="4"/>
    <n v="3"/>
    <x v="0"/>
    <n v="0"/>
    <n v="6"/>
    <n v="5"/>
    <n v="3"/>
    <n v="6"/>
    <n v="5"/>
    <x v="1"/>
    <n v="4"/>
  </r>
  <r>
    <n v="55"/>
    <x v="0"/>
    <x v="0"/>
    <n v="725"/>
    <x v="1"/>
    <n v="2"/>
    <n v="3"/>
    <x v="2"/>
    <n v="1"/>
    <n v="787"/>
    <n v="4"/>
    <x v="1"/>
    <n v="78"/>
    <n v="3"/>
    <x v="4"/>
    <s v="Manager"/>
    <n v="1"/>
    <s v="Married"/>
    <x v="544"/>
    <n v="21199"/>
    <n v="5"/>
    <s v="Y"/>
    <x v="0"/>
    <n v="13"/>
    <n v="3"/>
    <n v="4"/>
    <x v="0"/>
    <n v="1"/>
    <n v="24"/>
    <n v="2"/>
    <n v="3"/>
    <n v="5"/>
    <n v="2"/>
    <x v="1"/>
    <n v="4"/>
  </r>
  <r>
    <n v="36"/>
    <x v="1"/>
    <x v="2"/>
    <n v="1434"/>
    <x v="0"/>
    <n v="8"/>
    <n v="4"/>
    <x v="0"/>
    <n v="1"/>
    <n v="789"/>
    <n v="1"/>
    <x v="1"/>
    <n v="76"/>
    <n v="2"/>
    <x v="2"/>
    <s v="Sales Executive"/>
    <n v="1"/>
    <s v="Single"/>
    <x v="545"/>
    <n v="14229"/>
    <n v="1"/>
    <s v="Y"/>
    <x v="1"/>
    <n v="15"/>
    <n v="3"/>
    <n v="2"/>
    <x v="0"/>
    <n v="0"/>
    <n v="10"/>
    <n v="1"/>
    <n v="3"/>
    <n v="10"/>
    <n v="7"/>
    <x v="0"/>
    <n v="9"/>
  </r>
  <r>
    <n v="52"/>
    <x v="1"/>
    <x v="2"/>
    <n v="715"/>
    <x v="1"/>
    <n v="19"/>
    <n v="4"/>
    <x v="2"/>
    <n v="1"/>
    <n v="791"/>
    <n v="4"/>
    <x v="1"/>
    <n v="41"/>
    <n v="3"/>
    <x v="1"/>
    <s v="Research Scientist"/>
    <n v="4"/>
    <s v="Married"/>
    <x v="546"/>
    <n v="26589"/>
    <n v="0"/>
    <s v="Y"/>
    <x v="1"/>
    <n v="18"/>
    <n v="3"/>
    <n v="1"/>
    <x v="0"/>
    <n v="1"/>
    <n v="5"/>
    <n v="3"/>
    <n v="3"/>
    <n v="4"/>
    <n v="3"/>
    <x v="1"/>
    <n v="2"/>
  </r>
  <r>
    <n v="26"/>
    <x v="1"/>
    <x v="1"/>
    <n v="575"/>
    <x v="1"/>
    <n v="1"/>
    <n v="2"/>
    <x v="0"/>
    <n v="1"/>
    <n v="792"/>
    <n v="1"/>
    <x v="0"/>
    <n v="71"/>
    <n v="1"/>
    <x v="1"/>
    <s v="Laboratory Technician"/>
    <n v="4"/>
    <s v="Divorced"/>
    <x v="547"/>
    <n v="5288"/>
    <n v="3"/>
    <s v="Y"/>
    <x v="1"/>
    <n v="14"/>
    <n v="3"/>
    <n v="1"/>
    <x v="0"/>
    <n v="1"/>
    <n v="5"/>
    <n v="2"/>
    <n v="3"/>
    <n v="2"/>
    <n v="2"/>
    <x v="3"/>
    <n v="0"/>
  </r>
  <r>
    <n v="29"/>
    <x v="1"/>
    <x v="0"/>
    <n v="657"/>
    <x v="1"/>
    <n v="27"/>
    <n v="3"/>
    <x v="2"/>
    <n v="1"/>
    <n v="793"/>
    <n v="2"/>
    <x v="0"/>
    <n v="66"/>
    <n v="3"/>
    <x v="0"/>
    <s v="Healthcare Representative"/>
    <n v="3"/>
    <s v="Married"/>
    <x v="548"/>
    <n v="25549"/>
    <n v="4"/>
    <s v="Y"/>
    <x v="1"/>
    <n v="12"/>
    <n v="3"/>
    <n v="1"/>
    <x v="0"/>
    <n v="1"/>
    <n v="11"/>
    <n v="3"/>
    <n v="2"/>
    <n v="8"/>
    <n v="7"/>
    <x v="1"/>
    <n v="1"/>
  </r>
  <r>
    <n v="26"/>
    <x v="0"/>
    <x v="0"/>
    <n v="1146"/>
    <x v="0"/>
    <n v="8"/>
    <n v="3"/>
    <x v="4"/>
    <n v="1"/>
    <n v="796"/>
    <n v="4"/>
    <x v="1"/>
    <n v="38"/>
    <n v="2"/>
    <x v="0"/>
    <s v="Sales Executive"/>
    <n v="1"/>
    <s v="Single"/>
    <x v="549"/>
    <n v="3064"/>
    <n v="6"/>
    <s v="Y"/>
    <x v="1"/>
    <n v="17"/>
    <n v="3"/>
    <n v="3"/>
    <x v="0"/>
    <n v="0"/>
    <n v="6"/>
    <n v="2"/>
    <n v="2"/>
    <n v="4"/>
    <n v="3"/>
    <x v="1"/>
    <n v="2"/>
  </r>
  <r>
    <n v="34"/>
    <x v="1"/>
    <x v="0"/>
    <n v="182"/>
    <x v="1"/>
    <n v="1"/>
    <n v="4"/>
    <x v="0"/>
    <n v="1"/>
    <n v="797"/>
    <n v="2"/>
    <x v="0"/>
    <n v="72"/>
    <n v="4"/>
    <x v="1"/>
    <s v="Research Scientist"/>
    <n v="4"/>
    <s v="Single"/>
    <x v="550"/>
    <n v="13551"/>
    <n v="2"/>
    <s v="Y"/>
    <x v="1"/>
    <n v="16"/>
    <n v="3"/>
    <n v="3"/>
    <x v="0"/>
    <n v="0"/>
    <n v="10"/>
    <n v="2"/>
    <n v="3"/>
    <n v="4"/>
    <n v="2"/>
    <x v="1"/>
    <n v="3"/>
  </r>
  <r>
    <n v="54"/>
    <x v="1"/>
    <x v="0"/>
    <n v="376"/>
    <x v="1"/>
    <n v="19"/>
    <n v="4"/>
    <x v="2"/>
    <n v="1"/>
    <n v="799"/>
    <n v="4"/>
    <x v="0"/>
    <n v="95"/>
    <n v="3"/>
    <x v="0"/>
    <s v="Manufacturing Director"/>
    <n v="1"/>
    <s v="Divorced"/>
    <x v="551"/>
    <n v="22670"/>
    <n v="9"/>
    <s v="Y"/>
    <x v="0"/>
    <n v="11"/>
    <n v="3"/>
    <n v="2"/>
    <x v="0"/>
    <n v="2"/>
    <n v="9"/>
    <n v="4"/>
    <n v="3"/>
    <n v="5"/>
    <n v="3"/>
    <x v="1"/>
    <n v="4"/>
  </r>
  <r>
    <n v="27"/>
    <x v="1"/>
    <x v="1"/>
    <n v="829"/>
    <x v="0"/>
    <n v="8"/>
    <n v="1"/>
    <x v="3"/>
    <n v="1"/>
    <n v="800"/>
    <n v="3"/>
    <x v="1"/>
    <n v="84"/>
    <n v="3"/>
    <x v="0"/>
    <s v="Sales Executive"/>
    <n v="4"/>
    <s v="Married"/>
    <x v="552"/>
    <n v="24008"/>
    <n v="0"/>
    <s v="Y"/>
    <x v="1"/>
    <n v="19"/>
    <n v="3"/>
    <n v="2"/>
    <x v="0"/>
    <n v="1"/>
    <n v="5"/>
    <n v="3"/>
    <n v="3"/>
    <n v="4"/>
    <n v="2"/>
    <x v="1"/>
    <n v="1"/>
  </r>
  <r>
    <n v="37"/>
    <x v="1"/>
    <x v="0"/>
    <n v="571"/>
    <x v="1"/>
    <n v="10"/>
    <n v="1"/>
    <x v="0"/>
    <n v="1"/>
    <n v="802"/>
    <n v="4"/>
    <x v="0"/>
    <n v="82"/>
    <n v="3"/>
    <x v="1"/>
    <s v="Research Scientist"/>
    <n v="1"/>
    <s v="Divorced"/>
    <x v="553"/>
    <n v="19905"/>
    <n v="0"/>
    <s v="Y"/>
    <x v="0"/>
    <n v="13"/>
    <n v="3"/>
    <n v="2"/>
    <x v="0"/>
    <n v="2"/>
    <n v="6"/>
    <n v="3"/>
    <n v="2"/>
    <n v="5"/>
    <n v="3"/>
    <x v="5"/>
    <n v="3"/>
  </r>
  <r>
    <n v="38"/>
    <x v="1"/>
    <x v="1"/>
    <n v="240"/>
    <x v="1"/>
    <n v="2"/>
    <n v="4"/>
    <x v="0"/>
    <n v="1"/>
    <n v="803"/>
    <n v="1"/>
    <x v="0"/>
    <n v="75"/>
    <n v="4"/>
    <x v="0"/>
    <s v="Manufacturing Director"/>
    <n v="1"/>
    <s v="Single"/>
    <x v="554"/>
    <n v="26085"/>
    <n v="6"/>
    <s v="Y"/>
    <x v="0"/>
    <n v="12"/>
    <n v="3"/>
    <n v="4"/>
    <x v="0"/>
    <n v="0"/>
    <n v="17"/>
    <n v="2"/>
    <n v="3"/>
    <n v="15"/>
    <n v="7"/>
    <x v="5"/>
    <n v="12"/>
  </r>
  <r>
    <n v="34"/>
    <x v="1"/>
    <x v="0"/>
    <n v="121"/>
    <x v="1"/>
    <n v="2"/>
    <n v="4"/>
    <x v="2"/>
    <n v="1"/>
    <n v="804"/>
    <n v="3"/>
    <x v="0"/>
    <n v="86"/>
    <n v="2"/>
    <x v="1"/>
    <s v="Research Scientist"/>
    <n v="1"/>
    <s v="Single"/>
    <x v="555"/>
    <n v="7530"/>
    <n v="1"/>
    <s v="Y"/>
    <x v="1"/>
    <n v="11"/>
    <n v="3"/>
    <n v="3"/>
    <x v="0"/>
    <n v="0"/>
    <n v="6"/>
    <n v="3"/>
    <n v="3"/>
    <n v="6"/>
    <n v="5"/>
    <x v="1"/>
    <n v="3"/>
  </r>
  <r>
    <n v="35"/>
    <x v="1"/>
    <x v="0"/>
    <n v="384"/>
    <x v="0"/>
    <n v="8"/>
    <n v="4"/>
    <x v="0"/>
    <n v="1"/>
    <n v="805"/>
    <n v="1"/>
    <x v="0"/>
    <n v="72"/>
    <n v="3"/>
    <x v="1"/>
    <s v="Sales Representative"/>
    <n v="4"/>
    <s v="Married"/>
    <x v="556"/>
    <n v="20317"/>
    <n v="1"/>
    <s v="Y"/>
    <x v="1"/>
    <n v="16"/>
    <n v="3"/>
    <n v="2"/>
    <x v="0"/>
    <n v="1"/>
    <n v="3"/>
    <n v="1"/>
    <n v="2"/>
    <n v="3"/>
    <n v="2"/>
    <x v="0"/>
    <n v="2"/>
  </r>
  <r>
    <n v="30"/>
    <x v="1"/>
    <x v="0"/>
    <n v="921"/>
    <x v="1"/>
    <n v="1"/>
    <n v="3"/>
    <x v="0"/>
    <n v="1"/>
    <n v="806"/>
    <n v="4"/>
    <x v="1"/>
    <n v="38"/>
    <n v="1"/>
    <x v="1"/>
    <s v="Laboratory Technician"/>
    <n v="3"/>
    <s v="Married"/>
    <x v="557"/>
    <n v="24375"/>
    <n v="3"/>
    <s v="Y"/>
    <x v="1"/>
    <n v="21"/>
    <n v="4"/>
    <n v="3"/>
    <x v="0"/>
    <n v="2"/>
    <n v="7"/>
    <n v="2"/>
    <n v="3"/>
    <n v="2"/>
    <n v="2"/>
    <x v="0"/>
    <n v="2"/>
  </r>
  <r>
    <n v="40"/>
    <x v="1"/>
    <x v="1"/>
    <n v="791"/>
    <x v="1"/>
    <n v="2"/>
    <n v="2"/>
    <x v="2"/>
    <n v="1"/>
    <n v="807"/>
    <n v="3"/>
    <x v="0"/>
    <n v="38"/>
    <n v="4"/>
    <x v="0"/>
    <s v="Healthcare Representative"/>
    <n v="2"/>
    <s v="Married"/>
    <x v="558"/>
    <n v="9931"/>
    <n v="1"/>
    <s v="Y"/>
    <x v="1"/>
    <n v="24"/>
    <n v="4"/>
    <n v="4"/>
    <x v="0"/>
    <n v="1"/>
    <n v="8"/>
    <n v="2"/>
    <n v="3"/>
    <n v="8"/>
    <n v="7"/>
    <x v="2"/>
    <n v="7"/>
  </r>
  <r>
    <n v="34"/>
    <x v="1"/>
    <x v="0"/>
    <n v="1111"/>
    <x v="0"/>
    <n v="8"/>
    <n v="2"/>
    <x v="0"/>
    <n v="1"/>
    <n v="808"/>
    <n v="3"/>
    <x v="0"/>
    <n v="93"/>
    <n v="3"/>
    <x v="0"/>
    <s v="Sales Executive"/>
    <n v="1"/>
    <s v="Married"/>
    <x v="559"/>
    <n v="13305"/>
    <n v="5"/>
    <s v="Y"/>
    <x v="1"/>
    <n v="17"/>
    <n v="3"/>
    <n v="2"/>
    <x v="0"/>
    <n v="1"/>
    <n v="6"/>
    <n v="1"/>
    <n v="3"/>
    <n v="3"/>
    <n v="2"/>
    <x v="1"/>
    <n v="2"/>
  </r>
  <r>
    <n v="42"/>
    <x v="1"/>
    <x v="1"/>
    <n v="570"/>
    <x v="1"/>
    <n v="8"/>
    <n v="3"/>
    <x v="0"/>
    <n v="1"/>
    <n v="809"/>
    <n v="2"/>
    <x v="1"/>
    <n v="66"/>
    <n v="3"/>
    <x v="4"/>
    <s v="Manager"/>
    <n v="4"/>
    <s v="Divorced"/>
    <x v="560"/>
    <n v="16225"/>
    <n v="1"/>
    <s v="Y"/>
    <x v="1"/>
    <n v="13"/>
    <n v="3"/>
    <n v="2"/>
    <x v="0"/>
    <n v="1"/>
    <n v="24"/>
    <n v="4"/>
    <n v="2"/>
    <n v="24"/>
    <n v="7"/>
    <x v="15"/>
    <n v="9"/>
  </r>
  <r>
    <n v="23"/>
    <x v="0"/>
    <x v="0"/>
    <n v="1243"/>
    <x v="1"/>
    <n v="6"/>
    <n v="3"/>
    <x v="0"/>
    <n v="1"/>
    <n v="811"/>
    <n v="3"/>
    <x v="1"/>
    <n v="63"/>
    <n v="4"/>
    <x v="1"/>
    <s v="Laboratory Technician"/>
    <n v="1"/>
    <s v="Married"/>
    <x v="561"/>
    <n v="3445"/>
    <n v="1"/>
    <s v="Y"/>
    <x v="0"/>
    <n v="21"/>
    <n v="4"/>
    <n v="3"/>
    <x v="0"/>
    <n v="2"/>
    <n v="1"/>
    <n v="2"/>
    <n v="3"/>
    <n v="0"/>
    <n v="0"/>
    <x v="0"/>
    <n v="0"/>
  </r>
  <r>
    <n v="24"/>
    <x v="1"/>
    <x v="2"/>
    <n v="1092"/>
    <x v="1"/>
    <n v="9"/>
    <n v="3"/>
    <x v="0"/>
    <n v="1"/>
    <n v="812"/>
    <n v="3"/>
    <x v="1"/>
    <n v="60"/>
    <n v="2"/>
    <x v="1"/>
    <s v="Laboratory Technician"/>
    <n v="2"/>
    <s v="Divorced"/>
    <x v="562"/>
    <n v="26551"/>
    <n v="1"/>
    <s v="Y"/>
    <x v="1"/>
    <n v="11"/>
    <n v="3"/>
    <n v="3"/>
    <x v="0"/>
    <n v="3"/>
    <n v="1"/>
    <n v="4"/>
    <n v="3"/>
    <n v="1"/>
    <n v="0"/>
    <x v="0"/>
    <n v="0"/>
  </r>
  <r>
    <n v="52"/>
    <x v="1"/>
    <x v="0"/>
    <n v="1325"/>
    <x v="1"/>
    <n v="11"/>
    <n v="4"/>
    <x v="0"/>
    <n v="1"/>
    <n v="813"/>
    <n v="4"/>
    <x v="0"/>
    <n v="82"/>
    <n v="3"/>
    <x v="0"/>
    <s v="Laboratory Technician"/>
    <n v="3"/>
    <s v="Married"/>
    <x v="563"/>
    <n v="21821"/>
    <n v="8"/>
    <s v="Y"/>
    <x v="1"/>
    <n v="20"/>
    <n v="4"/>
    <n v="2"/>
    <x v="0"/>
    <n v="1"/>
    <n v="9"/>
    <n v="3"/>
    <n v="3"/>
    <n v="5"/>
    <n v="2"/>
    <x v="1"/>
    <n v="4"/>
  </r>
  <r>
    <n v="50"/>
    <x v="1"/>
    <x v="0"/>
    <n v="691"/>
    <x v="1"/>
    <n v="2"/>
    <n v="3"/>
    <x v="2"/>
    <n v="1"/>
    <n v="815"/>
    <n v="3"/>
    <x v="1"/>
    <n v="64"/>
    <n v="3"/>
    <x v="3"/>
    <s v="Research Director"/>
    <n v="3"/>
    <s v="Married"/>
    <x v="564"/>
    <n v="6881"/>
    <n v="5"/>
    <s v="Y"/>
    <x v="1"/>
    <n v="16"/>
    <n v="3"/>
    <n v="4"/>
    <x v="0"/>
    <n v="0"/>
    <n v="30"/>
    <n v="3"/>
    <n v="3"/>
    <n v="4"/>
    <n v="3"/>
    <x v="0"/>
    <n v="3"/>
  </r>
  <r>
    <n v="29"/>
    <x v="0"/>
    <x v="0"/>
    <n v="805"/>
    <x v="1"/>
    <n v="1"/>
    <n v="2"/>
    <x v="0"/>
    <n v="1"/>
    <n v="816"/>
    <n v="2"/>
    <x v="0"/>
    <n v="36"/>
    <n v="2"/>
    <x v="1"/>
    <s v="Laboratory Technician"/>
    <n v="1"/>
    <s v="Married"/>
    <x v="565"/>
    <n v="6689"/>
    <n v="1"/>
    <s v="Y"/>
    <x v="0"/>
    <n v="11"/>
    <n v="3"/>
    <n v="4"/>
    <x v="0"/>
    <n v="1"/>
    <n v="1"/>
    <n v="1"/>
    <n v="3"/>
    <n v="1"/>
    <n v="0"/>
    <x v="0"/>
    <n v="0"/>
  </r>
  <r>
    <n v="33"/>
    <x v="1"/>
    <x v="0"/>
    <n v="213"/>
    <x v="1"/>
    <n v="7"/>
    <n v="3"/>
    <x v="2"/>
    <n v="1"/>
    <n v="817"/>
    <n v="3"/>
    <x v="1"/>
    <n v="49"/>
    <n v="3"/>
    <x v="2"/>
    <s v="Research Director"/>
    <n v="3"/>
    <s v="Married"/>
    <x v="566"/>
    <n v="25995"/>
    <n v="0"/>
    <s v="Y"/>
    <x v="1"/>
    <n v="11"/>
    <n v="3"/>
    <n v="4"/>
    <x v="0"/>
    <n v="0"/>
    <n v="14"/>
    <n v="3"/>
    <n v="4"/>
    <n v="13"/>
    <n v="9"/>
    <x v="2"/>
    <n v="7"/>
  </r>
  <r>
    <n v="33"/>
    <x v="0"/>
    <x v="0"/>
    <n v="118"/>
    <x v="0"/>
    <n v="16"/>
    <n v="3"/>
    <x v="3"/>
    <n v="1"/>
    <n v="819"/>
    <n v="1"/>
    <x v="0"/>
    <n v="69"/>
    <n v="3"/>
    <x v="0"/>
    <s v="Sales Executive"/>
    <n v="1"/>
    <s v="Single"/>
    <x v="567"/>
    <n v="26507"/>
    <n v="5"/>
    <s v="Y"/>
    <x v="1"/>
    <n v="15"/>
    <n v="3"/>
    <n v="3"/>
    <x v="0"/>
    <n v="0"/>
    <n v="6"/>
    <n v="3"/>
    <n v="3"/>
    <n v="3"/>
    <n v="2"/>
    <x v="0"/>
    <n v="2"/>
  </r>
  <r>
    <n v="47"/>
    <x v="1"/>
    <x v="0"/>
    <n v="202"/>
    <x v="1"/>
    <n v="2"/>
    <n v="2"/>
    <x v="1"/>
    <n v="1"/>
    <n v="820"/>
    <n v="3"/>
    <x v="0"/>
    <n v="33"/>
    <n v="3"/>
    <x v="3"/>
    <s v="Manager"/>
    <n v="4"/>
    <s v="Married"/>
    <x v="568"/>
    <n v="12982"/>
    <n v="1"/>
    <s v="Y"/>
    <x v="0"/>
    <n v="11"/>
    <n v="3"/>
    <n v="3"/>
    <x v="0"/>
    <n v="1"/>
    <n v="26"/>
    <n v="3"/>
    <n v="2"/>
    <n v="26"/>
    <n v="14"/>
    <x v="2"/>
    <n v="0"/>
  </r>
  <r>
    <n v="36"/>
    <x v="1"/>
    <x v="0"/>
    <n v="676"/>
    <x v="1"/>
    <n v="1"/>
    <n v="3"/>
    <x v="1"/>
    <n v="1"/>
    <n v="823"/>
    <n v="3"/>
    <x v="0"/>
    <n v="35"/>
    <n v="3"/>
    <x v="0"/>
    <s v="Manufacturing Director"/>
    <n v="2"/>
    <s v="Married"/>
    <x v="311"/>
    <n v="23361"/>
    <n v="0"/>
    <s v="Y"/>
    <x v="1"/>
    <n v="15"/>
    <n v="3"/>
    <n v="1"/>
    <x v="0"/>
    <n v="1"/>
    <n v="10"/>
    <n v="2"/>
    <n v="3"/>
    <n v="9"/>
    <n v="7"/>
    <x v="0"/>
    <n v="5"/>
  </r>
  <r>
    <n v="29"/>
    <x v="1"/>
    <x v="0"/>
    <n v="1252"/>
    <x v="1"/>
    <n v="23"/>
    <n v="2"/>
    <x v="0"/>
    <n v="1"/>
    <n v="824"/>
    <n v="3"/>
    <x v="1"/>
    <n v="81"/>
    <n v="4"/>
    <x v="1"/>
    <s v="Research Scientist"/>
    <n v="3"/>
    <s v="Married"/>
    <x v="569"/>
    <n v="23779"/>
    <n v="1"/>
    <s v="Y"/>
    <x v="1"/>
    <n v="24"/>
    <n v="4"/>
    <n v="3"/>
    <x v="0"/>
    <n v="1"/>
    <n v="10"/>
    <n v="3"/>
    <n v="3"/>
    <n v="10"/>
    <n v="7"/>
    <x v="0"/>
    <n v="7"/>
  </r>
  <r>
    <n v="58"/>
    <x v="0"/>
    <x v="0"/>
    <n v="286"/>
    <x v="1"/>
    <n v="2"/>
    <n v="4"/>
    <x v="0"/>
    <n v="1"/>
    <n v="825"/>
    <n v="4"/>
    <x v="1"/>
    <n v="31"/>
    <n v="3"/>
    <x v="4"/>
    <s v="Research Director"/>
    <n v="2"/>
    <s v="Single"/>
    <x v="570"/>
    <n v="25761"/>
    <n v="7"/>
    <s v="Y"/>
    <x v="0"/>
    <n v="12"/>
    <n v="3"/>
    <n v="4"/>
    <x v="0"/>
    <n v="0"/>
    <n v="40"/>
    <n v="2"/>
    <n v="3"/>
    <n v="31"/>
    <n v="15"/>
    <x v="11"/>
    <n v="8"/>
  </r>
  <r>
    <n v="35"/>
    <x v="1"/>
    <x v="0"/>
    <n v="1258"/>
    <x v="1"/>
    <n v="1"/>
    <n v="4"/>
    <x v="0"/>
    <n v="1"/>
    <n v="826"/>
    <n v="4"/>
    <x v="0"/>
    <n v="40"/>
    <n v="4"/>
    <x v="1"/>
    <s v="Research Scientist"/>
    <n v="3"/>
    <s v="Single"/>
    <x v="571"/>
    <n v="13301"/>
    <n v="3"/>
    <s v="Y"/>
    <x v="1"/>
    <n v="13"/>
    <n v="3"/>
    <n v="3"/>
    <x v="0"/>
    <n v="0"/>
    <n v="7"/>
    <n v="0"/>
    <n v="3"/>
    <n v="2"/>
    <n v="2"/>
    <x v="3"/>
    <n v="2"/>
  </r>
  <r>
    <n v="42"/>
    <x v="1"/>
    <x v="0"/>
    <n v="932"/>
    <x v="1"/>
    <n v="1"/>
    <n v="2"/>
    <x v="0"/>
    <n v="1"/>
    <n v="827"/>
    <n v="4"/>
    <x v="0"/>
    <n v="43"/>
    <n v="2"/>
    <x v="0"/>
    <s v="Manufacturing Director"/>
    <n v="4"/>
    <s v="Married"/>
    <x v="572"/>
    <n v="4051"/>
    <n v="9"/>
    <s v="Y"/>
    <x v="0"/>
    <n v="13"/>
    <n v="3"/>
    <n v="4"/>
    <x v="0"/>
    <n v="1"/>
    <n v="8"/>
    <n v="4"/>
    <n v="3"/>
    <n v="4"/>
    <n v="3"/>
    <x v="0"/>
    <n v="2"/>
  </r>
  <r>
    <n v="28"/>
    <x v="0"/>
    <x v="0"/>
    <n v="890"/>
    <x v="1"/>
    <n v="2"/>
    <n v="4"/>
    <x v="2"/>
    <n v="1"/>
    <n v="828"/>
    <n v="3"/>
    <x v="1"/>
    <n v="46"/>
    <n v="3"/>
    <x v="1"/>
    <s v="Research Scientist"/>
    <n v="3"/>
    <s v="Single"/>
    <x v="573"/>
    <n v="16374"/>
    <n v="6"/>
    <s v="Y"/>
    <x v="1"/>
    <n v="17"/>
    <n v="3"/>
    <n v="4"/>
    <x v="0"/>
    <n v="0"/>
    <n v="5"/>
    <n v="3"/>
    <n v="2"/>
    <n v="2"/>
    <n v="2"/>
    <x v="3"/>
    <n v="1"/>
  </r>
  <r>
    <n v="36"/>
    <x v="1"/>
    <x v="0"/>
    <n v="1041"/>
    <x v="2"/>
    <n v="13"/>
    <n v="3"/>
    <x v="5"/>
    <n v="1"/>
    <n v="829"/>
    <n v="3"/>
    <x v="1"/>
    <n v="36"/>
    <n v="3"/>
    <x v="1"/>
    <s v="Human Resources"/>
    <n v="2"/>
    <s v="Married"/>
    <x v="574"/>
    <n v="25527"/>
    <n v="4"/>
    <s v="Y"/>
    <x v="1"/>
    <n v="13"/>
    <n v="3"/>
    <n v="2"/>
    <x v="0"/>
    <n v="1"/>
    <n v="8"/>
    <n v="2"/>
    <n v="3"/>
    <n v="5"/>
    <n v="2"/>
    <x v="0"/>
    <n v="4"/>
  </r>
  <r>
    <n v="32"/>
    <x v="1"/>
    <x v="0"/>
    <n v="859"/>
    <x v="1"/>
    <n v="4"/>
    <n v="3"/>
    <x v="0"/>
    <n v="1"/>
    <n v="830"/>
    <n v="3"/>
    <x v="0"/>
    <n v="98"/>
    <n v="2"/>
    <x v="0"/>
    <s v="Manufacturing Director"/>
    <n v="3"/>
    <s v="Married"/>
    <x v="57"/>
    <n v="19124"/>
    <n v="1"/>
    <s v="Y"/>
    <x v="1"/>
    <n v="12"/>
    <n v="3"/>
    <n v="3"/>
    <x v="0"/>
    <n v="1"/>
    <n v="14"/>
    <n v="3"/>
    <n v="3"/>
    <n v="14"/>
    <n v="13"/>
    <x v="7"/>
    <n v="8"/>
  </r>
  <r>
    <n v="40"/>
    <x v="1"/>
    <x v="1"/>
    <n v="720"/>
    <x v="1"/>
    <n v="16"/>
    <n v="4"/>
    <x v="2"/>
    <n v="1"/>
    <n v="832"/>
    <n v="1"/>
    <x v="1"/>
    <n v="51"/>
    <n v="2"/>
    <x v="0"/>
    <s v="Laboratory Technician"/>
    <n v="3"/>
    <s v="Single"/>
    <x v="575"/>
    <n v="11983"/>
    <n v="6"/>
    <s v="Y"/>
    <x v="1"/>
    <n v="14"/>
    <n v="3"/>
    <n v="4"/>
    <x v="0"/>
    <n v="0"/>
    <n v="10"/>
    <n v="6"/>
    <n v="3"/>
    <n v="1"/>
    <n v="0"/>
    <x v="0"/>
    <n v="0"/>
  </r>
  <r>
    <n v="30"/>
    <x v="1"/>
    <x v="0"/>
    <n v="946"/>
    <x v="1"/>
    <n v="2"/>
    <n v="3"/>
    <x v="2"/>
    <n v="1"/>
    <n v="833"/>
    <n v="3"/>
    <x v="0"/>
    <n v="52"/>
    <n v="2"/>
    <x v="0"/>
    <s v="Manufacturing Director"/>
    <n v="4"/>
    <s v="Single"/>
    <x v="576"/>
    <n v="20234"/>
    <n v="5"/>
    <s v="Y"/>
    <x v="0"/>
    <n v="24"/>
    <n v="4"/>
    <n v="2"/>
    <x v="0"/>
    <n v="0"/>
    <n v="12"/>
    <n v="4"/>
    <n v="2"/>
    <n v="0"/>
    <n v="0"/>
    <x v="0"/>
    <n v="0"/>
  </r>
  <r>
    <n v="45"/>
    <x v="1"/>
    <x v="0"/>
    <n v="252"/>
    <x v="1"/>
    <n v="2"/>
    <n v="3"/>
    <x v="0"/>
    <n v="1"/>
    <n v="834"/>
    <n v="2"/>
    <x v="0"/>
    <n v="95"/>
    <n v="2"/>
    <x v="1"/>
    <s v="Research Scientist"/>
    <n v="3"/>
    <s v="Single"/>
    <x v="577"/>
    <n v="6153"/>
    <n v="1"/>
    <s v="Y"/>
    <x v="1"/>
    <n v="14"/>
    <n v="3"/>
    <n v="4"/>
    <x v="0"/>
    <n v="0"/>
    <n v="1"/>
    <n v="3"/>
    <n v="3"/>
    <n v="1"/>
    <n v="0"/>
    <x v="0"/>
    <n v="0"/>
  </r>
  <r>
    <n v="42"/>
    <x v="1"/>
    <x v="0"/>
    <n v="933"/>
    <x v="1"/>
    <n v="29"/>
    <n v="3"/>
    <x v="0"/>
    <n v="1"/>
    <n v="836"/>
    <n v="2"/>
    <x v="1"/>
    <n v="98"/>
    <n v="3"/>
    <x v="0"/>
    <s v="Manufacturing Director"/>
    <n v="2"/>
    <s v="Married"/>
    <x v="578"/>
    <n v="11806"/>
    <n v="1"/>
    <s v="Y"/>
    <x v="1"/>
    <n v="13"/>
    <n v="3"/>
    <n v="4"/>
    <x v="0"/>
    <n v="1"/>
    <n v="10"/>
    <n v="3"/>
    <n v="2"/>
    <n v="9"/>
    <n v="8"/>
    <x v="4"/>
    <n v="8"/>
  </r>
  <r>
    <n v="38"/>
    <x v="1"/>
    <x v="1"/>
    <n v="471"/>
    <x v="1"/>
    <n v="12"/>
    <n v="3"/>
    <x v="0"/>
    <n v="1"/>
    <n v="837"/>
    <n v="1"/>
    <x v="1"/>
    <n v="45"/>
    <n v="2"/>
    <x v="0"/>
    <s v="Healthcare Representative"/>
    <n v="1"/>
    <s v="Divorced"/>
    <x v="579"/>
    <n v="4284"/>
    <n v="2"/>
    <s v="Y"/>
    <x v="1"/>
    <n v="15"/>
    <n v="3"/>
    <n v="3"/>
    <x v="0"/>
    <n v="1"/>
    <n v="13"/>
    <n v="3"/>
    <n v="2"/>
    <n v="4"/>
    <n v="3"/>
    <x v="1"/>
    <n v="2"/>
  </r>
  <r>
    <n v="34"/>
    <x v="1"/>
    <x v="1"/>
    <n v="702"/>
    <x v="1"/>
    <n v="16"/>
    <n v="4"/>
    <x v="0"/>
    <n v="1"/>
    <n v="838"/>
    <n v="3"/>
    <x v="0"/>
    <n v="100"/>
    <n v="2"/>
    <x v="1"/>
    <s v="Research Scientist"/>
    <n v="4"/>
    <s v="Single"/>
    <x v="580"/>
    <n v="8306"/>
    <n v="1"/>
    <s v="Y"/>
    <x v="1"/>
    <n v="16"/>
    <n v="3"/>
    <n v="3"/>
    <x v="0"/>
    <n v="0"/>
    <n v="6"/>
    <n v="3"/>
    <n v="3"/>
    <n v="5"/>
    <n v="2"/>
    <x v="1"/>
    <n v="3"/>
  </r>
  <r>
    <n v="49"/>
    <x v="0"/>
    <x v="0"/>
    <n v="1184"/>
    <x v="0"/>
    <n v="11"/>
    <n v="3"/>
    <x v="3"/>
    <n v="1"/>
    <n v="840"/>
    <n v="3"/>
    <x v="0"/>
    <n v="43"/>
    <n v="3"/>
    <x v="2"/>
    <s v="Sales Executive"/>
    <n v="4"/>
    <s v="Married"/>
    <x v="581"/>
    <n v="5860"/>
    <n v="1"/>
    <s v="Y"/>
    <x v="1"/>
    <n v="18"/>
    <n v="3"/>
    <n v="1"/>
    <x v="0"/>
    <n v="2"/>
    <n v="9"/>
    <n v="3"/>
    <n v="4"/>
    <n v="9"/>
    <n v="8"/>
    <x v="4"/>
    <n v="7"/>
  </r>
  <r>
    <n v="55"/>
    <x v="0"/>
    <x v="0"/>
    <n v="436"/>
    <x v="0"/>
    <n v="2"/>
    <n v="1"/>
    <x v="2"/>
    <n v="1"/>
    <n v="842"/>
    <n v="3"/>
    <x v="1"/>
    <n v="37"/>
    <n v="3"/>
    <x v="0"/>
    <s v="Sales Executive"/>
    <n v="4"/>
    <s v="Single"/>
    <x v="582"/>
    <n v="21519"/>
    <n v="4"/>
    <s v="Y"/>
    <x v="1"/>
    <n v="16"/>
    <n v="3"/>
    <n v="3"/>
    <x v="0"/>
    <n v="0"/>
    <n v="12"/>
    <n v="3"/>
    <n v="2"/>
    <n v="9"/>
    <n v="7"/>
    <x v="4"/>
    <n v="3"/>
  </r>
  <r>
    <n v="43"/>
    <x v="1"/>
    <x v="0"/>
    <n v="589"/>
    <x v="1"/>
    <n v="14"/>
    <n v="2"/>
    <x v="0"/>
    <n v="1"/>
    <n v="843"/>
    <n v="2"/>
    <x v="1"/>
    <n v="94"/>
    <n v="3"/>
    <x v="3"/>
    <s v="Research Director"/>
    <n v="1"/>
    <s v="Married"/>
    <x v="583"/>
    <n v="5200"/>
    <n v="6"/>
    <s v="Y"/>
    <x v="1"/>
    <n v="24"/>
    <n v="4"/>
    <n v="3"/>
    <x v="0"/>
    <n v="1"/>
    <n v="22"/>
    <n v="3"/>
    <n v="3"/>
    <n v="4"/>
    <n v="1"/>
    <x v="1"/>
    <n v="0"/>
  </r>
  <r>
    <n v="27"/>
    <x v="1"/>
    <x v="0"/>
    <n v="269"/>
    <x v="1"/>
    <n v="5"/>
    <n v="1"/>
    <x v="4"/>
    <n v="1"/>
    <n v="844"/>
    <n v="3"/>
    <x v="1"/>
    <n v="42"/>
    <n v="2"/>
    <x v="2"/>
    <s v="Research Director"/>
    <n v="4"/>
    <s v="Divorced"/>
    <x v="584"/>
    <n v="8842"/>
    <n v="1"/>
    <s v="Y"/>
    <x v="0"/>
    <n v="16"/>
    <n v="3"/>
    <n v="2"/>
    <x v="0"/>
    <n v="1"/>
    <n v="9"/>
    <n v="3"/>
    <n v="3"/>
    <n v="9"/>
    <n v="8"/>
    <x v="0"/>
    <n v="8"/>
  </r>
  <r>
    <n v="35"/>
    <x v="1"/>
    <x v="0"/>
    <n v="950"/>
    <x v="1"/>
    <n v="7"/>
    <n v="3"/>
    <x v="1"/>
    <n v="1"/>
    <n v="845"/>
    <n v="3"/>
    <x v="1"/>
    <n v="59"/>
    <n v="3"/>
    <x v="2"/>
    <s v="Manufacturing Director"/>
    <n v="3"/>
    <s v="Single"/>
    <x v="585"/>
    <n v="18869"/>
    <n v="3"/>
    <s v="Y"/>
    <x v="1"/>
    <n v="21"/>
    <n v="4"/>
    <n v="2"/>
    <x v="0"/>
    <n v="0"/>
    <n v="17"/>
    <n v="3"/>
    <n v="4"/>
    <n v="8"/>
    <n v="5"/>
    <x v="1"/>
    <n v="6"/>
  </r>
  <r>
    <n v="28"/>
    <x v="1"/>
    <x v="0"/>
    <n v="760"/>
    <x v="0"/>
    <n v="2"/>
    <n v="4"/>
    <x v="3"/>
    <n v="1"/>
    <n v="846"/>
    <n v="2"/>
    <x v="0"/>
    <n v="81"/>
    <n v="3"/>
    <x v="0"/>
    <s v="Sales Executive"/>
    <n v="2"/>
    <s v="Married"/>
    <x v="586"/>
    <n v="3698"/>
    <n v="1"/>
    <s v="Y"/>
    <x v="0"/>
    <n v="20"/>
    <n v="4"/>
    <n v="1"/>
    <x v="0"/>
    <n v="0"/>
    <n v="8"/>
    <n v="2"/>
    <n v="3"/>
    <n v="8"/>
    <n v="7"/>
    <x v="4"/>
    <n v="5"/>
  </r>
  <r>
    <n v="34"/>
    <x v="1"/>
    <x v="0"/>
    <n v="829"/>
    <x v="2"/>
    <n v="3"/>
    <n v="2"/>
    <x v="5"/>
    <n v="1"/>
    <n v="847"/>
    <n v="3"/>
    <x v="1"/>
    <n v="88"/>
    <n v="3"/>
    <x v="1"/>
    <s v="Human Resources"/>
    <n v="4"/>
    <s v="Married"/>
    <x v="587"/>
    <n v="2243"/>
    <n v="0"/>
    <s v="Y"/>
    <x v="1"/>
    <n v="19"/>
    <n v="3"/>
    <n v="3"/>
    <x v="0"/>
    <n v="1"/>
    <n v="4"/>
    <n v="1"/>
    <n v="1"/>
    <n v="3"/>
    <n v="2"/>
    <x v="0"/>
    <n v="2"/>
  </r>
  <r>
    <n v="26"/>
    <x v="0"/>
    <x v="1"/>
    <n v="887"/>
    <x v="1"/>
    <n v="5"/>
    <n v="2"/>
    <x v="2"/>
    <n v="1"/>
    <n v="848"/>
    <n v="3"/>
    <x v="0"/>
    <n v="88"/>
    <n v="2"/>
    <x v="1"/>
    <s v="Research Scientist"/>
    <n v="3"/>
    <s v="Married"/>
    <x v="588"/>
    <n v="20898"/>
    <n v="1"/>
    <s v="Y"/>
    <x v="0"/>
    <n v="14"/>
    <n v="3"/>
    <n v="1"/>
    <x v="0"/>
    <n v="1"/>
    <n v="8"/>
    <n v="2"/>
    <n v="3"/>
    <n v="8"/>
    <n v="7"/>
    <x v="1"/>
    <n v="7"/>
  </r>
  <r>
    <n v="27"/>
    <x v="1"/>
    <x v="2"/>
    <n v="443"/>
    <x v="1"/>
    <n v="3"/>
    <n v="3"/>
    <x v="2"/>
    <n v="1"/>
    <n v="850"/>
    <n v="4"/>
    <x v="1"/>
    <n v="50"/>
    <n v="3"/>
    <x v="1"/>
    <s v="Research Scientist"/>
    <n v="4"/>
    <s v="Married"/>
    <x v="589"/>
    <n v="16571"/>
    <n v="1"/>
    <s v="Y"/>
    <x v="1"/>
    <n v="11"/>
    <n v="3"/>
    <n v="3"/>
    <x v="0"/>
    <n v="3"/>
    <n v="0"/>
    <n v="6"/>
    <n v="2"/>
    <n v="0"/>
    <n v="0"/>
    <x v="0"/>
    <n v="0"/>
  </r>
  <r>
    <n v="51"/>
    <x v="1"/>
    <x v="0"/>
    <n v="1318"/>
    <x v="0"/>
    <n v="26"/>
    <n v="4"/>
    <x v="3"/>
    <n v="1"/>
    <n v="851"/>
    <n v="1"/>
    <x v="0"/>
    <n v="66"/>
    <n v="3"/>
    <x v="3"/>
    <s v="Manager"/>
    <n v="3"/>
    <s v="Married"/>
    <x v="590"/>
    <n v="5594"/>
    <n v="2"/>
    <s v="Y"/>
    <x v="1"/>
    <n v="14"/>
    <n v="3"/>
    <n v="3"/>
    <x v="0"/>
    <n v="1"/>
    <n v="29"/>
    <n v="2"/>
    <n v="2"/>
    <n v="20"/>
    <n v="6"/>
    <x v="5"/>
    <n v="17"/>
  </r>
  <r>
    <n v="44"/>
    <x v="1"/>
    <x v="0"/>
    <n v="625"/>
    <x v="1"/>
    <n v="4"/>
    <n v="3"/>
    <x v="2"/>
    <n v="1"/>
    <n v="852"/>
    <n v="4"/>
    <x v="1"/>
    <n v="50"/>
    <n v="3"/>
    <x v="0"/>
    <s v="Healthcare Representative"/>
    <n v="2"/>
    <s v="Single"/>
    <x v="591"/>
    <n v="5197"/>
    <n v="9"/>
    <s v="Y"/>
    <x v="1"/>
    <n v="12"/>
    <n v="3"/>
    <n v="4"/>
    <x v="0"/>
    <n v="0"/>
    <n v="10"/>
    <n v="2"/>
    <n v="2"/>
    <n v="5"/>
    <n v="2"/>
    <x v="3"/>
    <n v="3"/>
  </r>
  <r>
    <n v="25"/>
    <x v="1"/>
    <x v="0"/>
    <n v="180"/>
    <x v="1"/>
    <n v="2"/>
    <n v="1"/>
    <x v="2"/>
    <n v="1"/>
    <n v="854"/>
    <n v="1"/>
    <x v="1"/>
    <n v="65"/>
    <n v="4"/>
    <x v="1"/>
    <s v="Research Scientist"/>
    <n v="1"/>
    <s v="Single"/>
    <x v="592"/>
    <n v="21632"/>
    <n v="7"/>
    <s v="Y"/>
    <x v="1"/>
    <n v="13"/>
    <n v="3"/>
    <n v="3"/>
    <x v="0"/>
    <n v="0"/>
    <n v="6"/>
    <n v="3"/>
    <n v="2"/>
    <n v="4"/>
    <n v="3"/>
    <x v="0"/>
    <n v="1"/>
  </r>
  <r>
    <n v="33"/>
    <x v="1"/>
    <x v="0"/>
    <n v="586"/>
    <x v="0"/>
    <n v="1"/>
    <n v="3"/>
    <x v="2"/>
    <n v="1"/>
    <n v="855"/>
    <n v="1"/>
    <x v="1"/>
    <n v="48"/>
    <n v="4"/>
    <x v="0"/>
    <s v="Sales Executive"/>
    <n v="1"/>
    <s v="Divorced"/>
    <x v="593"/>
    <n v="21816"/>
    <n v="1"/>
    <s v="Y"/>
    <x v="1"/>
    <n v="22"/>
    <n v="4"/>
    <n v="1"/>
    <x v="0"/>
    <n v="1"/>
    <n v="9"/>
    <n v="5"/>
    <n v="3"/>
    <n v="9"/>
    <n v="8"/>
    <x v="0"/>
    <n v="8"/>
  </r>
  <r>
    <n v="35"/>
    <x v="1"/>
    <x v="0"/>
    <n v="1343"/>
    <x v="1"/>
    <n v="27"/>
    <n v="1"/>
    <x v="2"/>
    <n v="1"/>
    <n v="856"/>
    <n v="3"/>
    <x v="0"/>
    <n v="53"/>
    <n v="2"/>
    <x v="1"/>
    <s v="Research Scientist"/>
    <n v="1"/>
    <s v="Single"/>
    <x v="594"/>
    <n v="17852"/>
    <n v="1"/>
    <s v="Y"/>
    <x v="1"/>
    <n v="11"/>
    <n v="3"/>
    <n v="4"/>
    <x v="0"/>
    <n v="0"/>
    <n v="6"/>
    <n v="3"/>
    <n v="2"/>
    <n v="6"/>
    <n v="5"/>
    <x v="1"/>
    <n v="1"/>
  </r>
  <r>
    <n v="36"/>
    <x v="1"/>
    <x v="0"/>
    <n v="928"/>
    <x v="0"/>
    <n v="1"/>
    <n v="2"/>
    <x v="0"/>
    <n v="1"/>
    <n v="857"/>
    <n v="2"/>
    <x v="1"/>
    <n v="56"/>
    <n v="3"/>
    <x v="0"/>
    <s v="Sales Executive"/>
    <n v="4"/>
    <s v="Married"/>
    <x v="595"/>
    <n v="2823"/>
    <n v="1"/>
    <s v="Y"/>
    <x v="0"/>
    <n v="14"/>
    <n v="3"/>
    <n v="4"/>
    <x v="0"/>
    <n v="1"/>
    <n v="18"/>
    <n v="1"/>
    <n v="2"/>
    <n v="18"/>
    <n v="14"/>
    <x v="5"/>
    <n v="11"/>
  </r>
  <r>
    <n v="32"/>
    <x v="1"/>
    <x v="0"/>
    <n v="117"/>
    <x v="0"/>
    <n v="13"/>
    <n v="4"/>
    <x v="0"/>
    <n v="1"/>
    <n v="859"/>
    <n v="2"/>
    <x v="1"/>
    <n v="73"/>
    <n v="3"/>
    <x v="0"/>
    <s v="Sales Executive"/>
    <n v="4"/>
    <s v="Divorced"/>
    <x v="596"/>
    <n v="9250"/>
    <n v="2"/>
    <s v="Y"/>
    <x v="1"/>
    <n v="11"/>
    <n v="3"/>
    <n v="3"/>
    <x v="0"/>
    <n v="1"/>
    <n v="8"/>
    <n v="3"/>
    <n v="2"/>
    <n v="5"/>
    <n v="2"/>
    <x v="0"/>
    <n v="3"/>
  </r>
  <r>
    <n v="30"/>
    <x v="1"/>
    <x v="1"/>
    <n v="1012"/>
    <x v="1"/>
    <n v="5"/>
    <n v="4"/>
    <x v="0"/>
    <n v="1"/>
    <n v="861"/>
    <n v="2"/>
    <x v="1"/>
    <n v="75"/>
    <n v="2"/>
    <x v="1"/>
    <s v="Research Scientist"/>
    <n v="4"/>
    <s v="Divorced"/>
    <x v="597"/>
    <n v="2373"/>
    <n v="9"/>
    <s v="Y"/>
    <x v="1"/>
    <n v="12"/>
    <n v="3"/>
    <n v="2"/>
    <x v="0"/>
    <n v="1"/>
    <n v="10"/>
    <n v="3"/>
    <n v="2"/>
    <n v="5"/>
    <n v="4"/>
    <x v="0"/>
    <n v="3"/>
  </r>
  <r>
    <n v="53"/>
    <x v="1"/>
    <x v="0"/>
    <n v="661"/>
    <x v="0"/>
    <n v="7"/>
    <n v="2"/>
    <x v="3"/>
    <n v="1"/>
    <n v="862"/>
    <n v="1"/>
    <x v="0"/>
    <n v="78"/>
    <n v="2"/>
    <x v="2"/>
    <s v="Sales Executive"/>
    <n v="4"/>
    <s v="Married"/>
    <x v="598"/>
    <n v="20715"/>
    <n v="7"/>
    <s v="Y"/>
    <x v="0"/>
    <n v="18"/>
    <n v="3"/>
    <n v="4"/>
    <x v="0"/>
    <n v="1"/>
    <n v="35"/>
    <n v="3"/>
    <n v="3"/>
    <n v="5"/>
    <n v="2"/>
    <x v="0"/>
    <n v="4"/>
  </r>
  <r>
    <n v="45"/>
    <x v="1"/>
    <x v="0"/>
    <n v="930"/>
    <x v="0"/>
    <n v="9"/>
    <n v="3"/>
    <x v="3"/>
    <n v="1"/>
    <n v="864"/>
    <n v="4"/>
    <x v="1"/>
    <n v="74"/>
    <n v="3"/>
    <x v="2"/>
    <s v="Sales Executive"/>
    <n v="1"/>
    <s v="Divorced"/>
    <x v="599"/>
    <n v="19239"/>
    <n v="4"/>
    <s v="Y"/>
    <x v="0"/>
    <n v="12"/>
    <n v="3"/>
    <n v="3"/>
    <x v="0"/>
    <n v="1"/>
    <n v="18"/>
    <n v="2"/>
    <n v="3"/>
    <n v="5"/>
    <n v="4"/>
    <x v="0"/>
    <n v="2"/>
  </r>
  <r>
    <n v="32"/>
    <x v="1"/>
    <x v="0"/>
    <n v="638"/>
    <x v="1"/>
    <n v="8"/>
    <n v="2"/>
    <x v="2"/>
    <n v="1"/>
    <n v="865"/>
    <n v="3"/>
    <x v="0"/>
    <n v="91"/>
    <n v="4"/>
    <x v="0"/>
    <s v="Research Scientist"/>
    <n v="3"/>
    <s v="Married"/>
    <x v="600"/>
    <n v="22162"/>
    <n v="5"/>
    <s v="Y"/>
    <x v="1"/>
    <n v="12"/>
    <n v="3"/>
    <n v="3"/>
    <x v="0"/>
    <n v="1"/>
    <n v="9"/>
    <n v="3"/>
    <n v="2"/>
    <n v="5"/>
    <n v="3"/>
    <x v="1"/>
    <n v="3"/>
  </r>
  <r>
    <n v="52"/>
    <x v="1"/>
    <x v="1"/>
    <n v="890"/>
    <x v="1"/>
    <n v="25"/>
    <n v="4"/>
    <x v="2"/>
    <n v="1"/>
    <n v="867"/>
    <n v="3"/>
    <x v="0"/>
    <n v="81"/>
    <n v="2"/>
    <x v="3"/>
    <s v="Manufacturing Director"/>
    <n v="4"/>
    <s v="Married"/>
    <x v="601"/>
    <n v="19028"/>
    <n v="3"/>
    <s v="Y"/>
    <x v="1"/>
    <n v="22"/>
    <n v="4"/>
    <n v="3"/>
    <x v="0"/>
    <n v="0"/>
    <n v="31"/>
    <n v="3"/>
    <n v="3"/>
    <n v="9"/>
    <n v="8"/>
    <x v="0"/>
    <n v="0"/>
  </r>
  <r>
    <n v="37"/>
    <x v="1"/>
    <x v="0"/>
    <n v="342"/>
    <x v="0"/>
    <n v="16"/>
    <n v="4"/>
    <x v="3"/>
    <n v="1"/>
    <n v="868"/>
    <n v="4"/>
    <x v="1"/>
    <n v="66"/>
    <n v="2"/>
    <x v="0"/>
    <s v="Sales Executive"/>
    <n v="3"/>
    <s v="Divorced"/>
    <x v="602"/>
    <n v="24558"/>
    <n v="4"/>
    <s v="Y"/>
    <x v="1"/>
    <n v="19"/>
    <n v="3"/>
    <n v="4"/>
    <x v="0"/>
    <n v="2"/>
    <n v="9"/>
    <n v="2"/>
    <n v="3"/>
    <n v="1"/>
    <n v="0"/>
    <x v="0"/>
    <n v="0"/>
  </r>
  <r>
    <n v="28"/>
    <x v="1"/>
    <x v="0"/>
    <n v="1169"/>
    <x v="2"/>
    <n v="8"/>
    <n v="2"/>
    <x v="2"/>
    <n v="1"/>
    <n v="869"/>
    <n v="2"/>
    <x v="1"/>
    <n v="63"/>
    <n v="2"/>
    <x v="1"/>
    <s v="Human Resources"/>
    <n v="4"/>
    <s v="Divorced"/>
    <x v="365"/>
    <n v="23965"/>
    <n v="1"/>
    <s v="Y"/>
    <x v="1"/>
    <n v="13"/>
    <n v="3"/>
    <n v="4"/>
    <x v="0"/>
    <n v="1"/>
    <n v="6"/>
    <n v="6"/>
    <n v="3"/>
    <n v="5"/>
    <n v="1"/>
    <x v="0"/>
    <n v="4"/>
  </r>
  <r>
    <n v="22"/>
    <x v="1"/>
    <x v="0"/>
    <n v="1230"/>
    <x v="1"/>
    <n v="1"/>
    <n v="2"/>
    <x v="0"/>
    <n v="1"/>
    <n v="872"/>
    <n v="4"/>
    <x v="1"/>
    <n v="33"/>
    <n v="2"/>
    <x v="0"/>
    <s v="Manufacturing Director"/>
    <n v="4"/>
    <s v="Married"/>
    <x v="603"/>
    <n v="19146"/>
    <n v="6"/>
    <s v="Y"/>
    <x v="1"/>
    <n v="22"/>
    <n v="4"/>
    <n v="1"/>
    <x v="0"/>
    <n v="2"/>
    <n v="4"/>
    <n v="2"/>
    <n v="1"/>
    <n v="2"/>
    <n v="2"/>
    <x v="3"/>
    <n v="2"/>
  </r>
  <r>
    <n v="44"/>
    <x v="1"/>
    <x v="0"/>
    <n v="986"/>
    <x v="1"/>
    <n v="8"/>
    <n v="4"/>
    <x v="0"/>
    <n v="1"/>
    <n v="874"/>
    <n v="1"/>
    <x v="1"/>
    <n v="62"/>
    <n v="4"/>
    <x v="1"/>
    <s v="Laboratory Technician"/>
    <n v="4"/>
    <s v="Married"/>
    <x v="604"/>
    <n v="5044"/>
    <n v="2"/>
    <s v="Y"/>
    <x v="0"/>
    <n v="24"/>
    <n v="4"/>
    <n v="3"/>
    <x v="0"/>
    <n v="1"/>
    <n v="10"/>
    <n v="2"/>
    <n v="2"/>
    <n v="3"/>
    <n v="2"/>
    <x v="0"/>
    <n v="2"/>
  </r>
  <r>
    <n v="42"/>
    <x v="1"/>
    <x v="1"/>
    <n v="1271"/>
    <x v="1"/>
    <n v="2"/>
    <n v="1"/>
    <x v="2"/>
    <n v="1"/>
    <n v="875"/>
    <n v="2"/>
    <x v="1"/>
    <n v="35"/>
    <n v="3"/>
    <x v="1"/>
    <s v="Research Scientist"/>
    <n v="4"/>
    <s v="Single"/>
    <x v="605"/>
    <n v="9068"/>
    <n v="5"/>
    <s v="Y"/>
    <x v="0"/>
    <n v="14"/>
    <n v="3"/>
    <n v="4"/>
    <x v="0"/>
    <n v="0"/>
    <n v="8"/>
    <n v="2"/>
    <n v="3"/>
    <n v="2"/>
    <n v="1"/>
    <x v="3"/>
    <n v="2"/>
  </r>
  <r>
    <n v="36"/>
    <x v="1"/>
    <x v="0"/>
    <n v="1278"/>
    <x v="2"/>
    <n v="8"/>
    <n v="3"/>
    <x v="0"/>
    <n v="1"/>
    <n v="878"/>
    <n v="1"/>
    <x v="1"/>
    <n v="77"/>
    <n v="2"/>
    <x v="1"/>
    <s v="Human Resources"/>
    <n v="1"/>
    <s v="Married"/>
    <x v="531"/>
    <n v="8635"/>
    <n v="0"/>
    <s v="Y"/>
    <x v="1"/>
    <n v="21"/>
    <n v="4"/>
    <n v="3"/>
    <x v="0"/>
    <n v="0"/>
    <n v="6"/>
    <n v="3"/>
    <n v="3"/>
    <n v="5"/>
    <n v="4"/>
    <x v="0"/>
    <n v="3"/>
  </r>
  <r>
    <n v="25"/>
    <x v="1"/>
    <x v="0"/>
    <n v="141"/>
    <x v="0"/>
    <n v="3"/>
    <n v="1"/>
    <x v="1"/>
    <n v="1"/>
    <n v="879"/>
    <n v="3"/>
    <x v="1"/>
    <n v="98"/>
    <n v="3"/>
    <x v="0"/>
    <s v="Sales Executive"/>
    <n v="1"/>
    <s v="Married"/>
    <x v="606"/>
    <n v="14363"/>
    <n v="1"/>
    <s v="Y"/>
    <x v="0"/>
    <n v="18"/>
    <n v="3"/>
    <n v="4"/>
    <x v="0"/>
    <n v="0"/>
    <n v="5"/>
    <n v="3"/>
    <n v="3"/>
    <n v="5"/>
    <n v="3"/>
    <x v="0"/>
    <n v="3"/>
  </r>
  <r>
    <n v="35"/>
    <x v="1"/>
    <x v="0"/>
    <n v="607"/>
    <x v="1"/>
    <n v="9"/>
    <n v="3"/>
    <x v="0"/>
    <n v="1"/>
    <n v="880"/>
    <n v="4"/>
    <x v="0"/>
    <n v="66"/>
    <n v="2"/>
    <x v="2"/>
    <s v="Manufacturing Director"/>
    <n v="3"/>
    <s v="Married"/>
    <x v="607"/>
    <n v="23457"/>
    <n v="1"/>
    <s v="Y"/>
    <x v="0"/>
    <n v="20"/>
    <n v="4"/>
    <n v="2"/>
    <x v="0"/>
    <n v="1"/>
    <n v="17"/>
    <n v="2"/>
    <n v="3"/>
    <n v="17"/>
    <n v="14"/>
    <x v="8"/>
    <n v="15"/>
  </r>
  <r>
    <n v="35"/>
    <x v="0"/>
    <x v="1"/>
    <n v="130"/>
    <x v="1"/>
    <n v="25"/>
    <n v="4"/>
    <x v="0"/>
    <n v="1"/>
    <n v="881"/>
    <n v="4"/>
    <x v="0"/>
    <n v="96"/>
    <n v="3"/>
    <x v="1"/>
    <s v="Research Scientist"/>
    <n v="2"/>
    <s v="Divorced"/>
    <x v="608"/>
    <n v="16612"/>
    <n v="1"/>
    <s v="Y"/>
    <x v="0"/>
    <n v="19"/>
    <n v="3"/>
    <n v="1"/>
    <x v="0"/>
    <n v="1"/>
    <n v="10"/>
    <n v="3"/>
    <n v="2"/>
    <n v="10"/>
    <n v="2"/>
    <x v="4"/>
    <n v="8"/>
  </r>
  <r>
    <n v="32"/>
    <x v="1"/>
    <x v="2"/>
    <n v="300"/>
    <x v="1"/>
    <n v="1"/>
    <n v="3"/>
    <x v="0"/>
    <n v="1"/>
    <n v="882"/>
    <n v="4"/>
    <x v="1"/>
    <n v="61"/>
    <n v="3"/>
    <x v="1"/>
    <s v="Laboratory Technician"/>
    <n v="4"/>
    <s v="Divorced"/>
    <x v="609"/>
    <n v="9148"/>
    <n v="0"/>
    <s v="Y"/>
    <x v="1"/>
    <n v="12"/>
    <n v="3"/>
    <n v="2"/>
    <x v="0"/>
    <n v="1"/>
    <n v="4"/>
    <n v="2"/>
    <n v="3"/>
    <n v="3"/>
    <n v="0"/>
    <x v="0"/>
    <n v="2"/>
  </r>
  <r>
    <n v="25"/>
    <x v="1"/>
    <x v="0"/>
    <n v="583"/>
    <x v="0"/>
    <n v="4"/>
    <n v="1"/>
    <x v="3"/>
    <n v="1"/>
    <n v="885"/>
    <n v="3"/>
    <x v="1"/>
    <n v="87"/>
    <n v="2"/>
    <x v="0"/>
    <s v="Sales Executive"/>
    <n v="1"/>
    <s v="Married"/>
    <x v="610"/>
    <n v="18154"/>
    <n v="1"/>
    <s v="Y"/>
    <x v="1"/>
    <n v="12"/>
    <n v="3"/>
    <n v="1"/>
    <x v="0"/>
    <n v="0"/>
    <n v="5"/>
    <n v="1"/>
    <n v="4"/>
    <n v="5"/>
    <n v="2"/>
    <x v="0"/>
    <n v="3"/>
  </r>
  <r>
    <n v="49"/>
    <x v="1"/>
    <x v="0"/>
    <n v="1418"/>
    <x v="1"/>
    <n v="1"/>
    <n v="3"/>
    <x v="4"/>
    <n v="1"/>
    <n v="887"/>
    <n v="3"/>
    <x v="0"/>
    <n v="36"/>
    <n v="3"/>
    <x v="1"/>
    <s v="Research Scientist"/>
    <n v="1"/>
    <s v="Married"/>
    <x v="611"/>
    <n v="10554"/>
    <n v="2"/>
    <s v="Y"/>
    <x v="1"/>
    <n v="16"/>
    <n v="3"/>
    <n v="2"/>
    <x v="0"/>
    <n v="1"/>
    <n v="7"/>
    <n v="2"/>
    <n v="3"/>
    <n v="4"/>
    <n v="2"/>
    <x v="0"/>
    <n v="2"/>
  </r>
  <r>
    <n v="24"/>
    <x v="1"/>
    <x v="2"/>
    <n v="1269"/>
    <x v="1"/>
    <n v="4"/>
    <n v="1"/>
    <x v="0"/>
    <n v="1"/>
    <n v="888"/>
    <n v="1"/>
    <x v="1"/>
    <n v="46"/>
    <n v="2"/>
    <x v="1"/>
    <s v="Laboratory Technician"/>
    <n v="4"/>
    <s v="Married"/>
    <x v="612"/>
    <n v="10778"/>
    <n v="0"/>
    <s v="Y"/>
    <x v="1"/>
    <n v="17"/>
    <n v="3"/>
    <n v="4"/>
    <x v="0"/>
    <n v="0"/>
    <n v="6"/>
    <n v="2"/>
    <n v="2"/>
    <n v="5"/>
    <n v="2"/>
    <x v="2"/>
    <n v="4"/>
  </r>
  <r>
    <n v="32"/>
    <x v="1"/>
    <x v="1"/>
    <n v="379"/>
    <x v="0"/>
    <n v="5"/>
    <n v="2"/>
    <x v="0"/>
    <n v="1"/>
    <n v="889"/>
    <n v="2"/>
    <x v="1"/>
    <n v="48"/>
    <n v="3"/>
    <x v="0"/>
    <s v="Sales Executive"/>
    <n v="2"/>
    <s v="Married"/>
    <x v="613"/>
    <n v="8891"/>
    <n v="1"/>
    <s v="Y"/>
    <x v="1"/>
    <n v="14"/>
    <n v="3"/>
    <n v="4"/>
    <x v="0"/>
    <n v="1"/>
    <n v="10"/>
    <n v="3"/>
    <n v="3"/>
    <n v="10"/>
    <n v="8"/>
    <x v="8"/>
    <n v="3"/>
  </r>
  <r>
    <n v="38"/>
    <x v="1"/>
    <x v="0"/>
    <n v="395"/>
    <x v="0"/>
    <n v="9"/>
    <n v="3"/>
    <x v="3"/>
    <n v="1"/>
    <n v="893"/>
    <n v="2"/>
    <x v="1"/>
    <n v="98"/>
    <n v="2"/>
    <x v="1"/>
    <s v="Sales Representative"/>
    <n v="2"/>
    <s v="Married"/>
    <x v="614"/>
    <n v="12102"/>
    <n v="0"/>
    <s v="Y"/>
    <x v="1"/>
    <n v="19"/>
    <n v="3"/>
    <n v="4"/>
    <x v="0"/>
    <n v="1"/>
    <n v="3"/>
    <n v="3"/>
    <n v="3"/>
    <n v="2"/>
    <n v="2"/>
    <x v="1"/>
    <n v="2"/>
  </r>
  <r>
    <n v="42"/>
    <x v="1"/>
    <x v="0"/>
    <n v="1265"/>
    <x v="1"/>
    <n v="3"/>
    <n v="3"/>
    <x v="0"/>
    <n v="1"/>
    <n v="894"/>
    <n v="3"/>
    <x v="0"/>
    <n v="95"/>
    <n v="4"/>
    <x v="0"/>
    <s v="Laboratory Technician"/>
    <n v="4"/>
    <s v="Married"/>
    <x v="615"/>
    <n v="23726"/>
    <n v="2"/>
    <s v="Y"/>
    <x v="0"/>
    <n v="13"/>
    <n v="3"/>
    <n v="2"/>
    <x v="0"/>
    <n v="1"/>
    <n v="17"/>
    <n v="1"/>
    <n v="2"/>
    <n v="5"/>
    <n v="3"/>
    <x v="1"/>
    <n v="3"/>
  </r>
  <r>
    <n v="31"/>
    <x v="1"/>
    <x v="0"/>
    <n v="1222"/>
    <x v="1"/>
    <n v="11"/>
    <n v="4"/>
    <x v="0"/>
    <n v="1"/>
    <n v="895"/>
    <n v="4"/>
    <x v="1"/>
    <n v="48"/>
    <n v="3"/>
    <x v="1"/>
    <s v="Research Scientist"/>
    <n v="4"/>
    <s v="Married"/>
    <x v="616"/>
    <n v="14871"/>
    <n v="3"/>
    <s v="Y"/>
    <x v="0"/>
    <n v="19"/>
    <n v="3"/>
    <n v="2"/>
    <x v="0"/>
    <n v="1"/>
    <n v="8"/>
    <n v="2"/>
    <n v="3"/>
    <n v="6"/>
    <n v="4"/>
    <x v="0"/>
    <n v="2"/>
  </r>
  <r>
    <n v="29"/>
    <x v="0"/>
    <x v="0"/>
    <n v="341"/>
    <x v="0"/>
    <n v="1"/>
    <n v="3"/>
    <x v="2"/>
    <n v="1"/>
    <n v="896"/>
    <n v="2"/>
    <x v="0"/>
    <n v="48"/>
    <n v="2"/>
    <x v="1"/>
    <s v="Sales Representative"/>
    <n v="3"/>
    <s v="Divorced"/>
    <x v="617"/>
    <n v="23522"/>
    <n v="6"/>
    <s v="Y"/>
    <x v="0"/>
    <n v="19"/>
    <n v="3"/>
    <n v="3"/>
    <x v="0"/>
    <n v="3"/>
    <n v="5"/>
    <n v="3"/>
    <n v="3"/>
    <n v="3"/>
    <n v="2"/>
    <x v="0"/>
    <n v="2"/>
  </r>
  <r>
    <n v="53"/>
    <x v="1"/>
    <x v="0"/>
    <n v="868"/>
    <x v="0"/>
    <n v="8"/>
    <n v="3"/>
    <x v="3"/>
    <n v="1"/>
    <n v="897"/>
    <n v="1"/>
    <x v="1"/>
    <n v="73"/>
    <n v="3"/>
    <x v="3"/>
    <s v="Sales Executive"/>
    <n v="4"/>
    <s v="Married"/>
    <x v="618"/>
    <n v="22789"/>
    <n v="5"/>
    <s v="Y"/>
    <x v="1"/>
    <n v="14"/>
    <n v="3"/>
    <n v="3"/>
    <x v="0"/>
    <n v="1"/>
    <n v="28"/>
    <n v="3"/>
    <n v="3"/>
    <n v="2"/>
    <n v="0"/>
    <x v="3"/>
    <n v="2"/>
  </r>
  <r>
    <n v="35"/>
    <x v="1"/>
    <x v="0"/>
    <n v="672"/>
    <x v="1"/>
    <n v="25"/>
    <n v="3"/>
    <x v="4"/>
    <n v="1"/>
    <n v="899"/>
    <n v="4"/>
    <x v="1"/>
    <n v="78"/>
    <n v="2"/>
    <x v="2"/>
    <s v="Manufacturing Director"/>
    <n v="2"/>
    <s v="Married"/>
    <x v="619"/>
    <n v="9129"/>
    <n v="3"/>
    <s v="Y"/>
    <x v="1"/>
    <n v="16"/>
    <n v="3"/>
    <n v="1"/>
    <x v="0"/>
    <n v="0"/>
    <n v="16"/>
    <n v="2"/>
    <n v="3"/>
    <n v="13"/>
    <n v="10"/>
    <x v="5"/>
    <n v="8"/>
  </r>
  <r>
    <n v="37"/>
    <x v="1"/>
    <x v="1"/>
    <n v="1231"/>
    <x v="0"/>
    <n v="21"/>
    <n v="2"/>
    <x v="2"/>
    <n v="1"/>
    <n v="900"/>
    <n v="3"/>
    <x v="0"/>
    <n v="54"/>
    <n v="3"/>
    <x v="1"/>
    <s v="Sales Representative"/>
    <n v="4"/>
    <s v="Married"/>
    <x v="620"/>
    <n v="21222"/>
    <n v="5"/>
    <s v="Y"/>
    <x v="1"/>
    <n v="15"/>
    <n v="3"/>
    <n v="2"/>
    <x v="0"/>
    <n v="1"/>
    <n v="10"/>
    <n v="3"/>
    <n v="3"/>
    <n v="5"/>
    <n v="4"/>
    <x v="0"/>
    <n v="0"/>
  </r>
  <r>
    <n v="53"/>
    <x v="1"/>
    <x v="0"/>
    <n v="102"/>
    <x v="1"/>
    <n v="23"/>
    <n v="4"/>
    <x v="0"/>
    <n v="1"/>
    <n v="901"/>
    <n v="4"/>
    <x v="0"/>
    <n v="72"/>
    <n v="3"/>
    <x v="3"/>
    <s v="Research Director"/>
    <n v="4"/>
    <s v="Single"/>
    <x v="621"/>
    <n v="20206"/>
    <n v="6"/>
    <s v="Y"/>
    <x v="1"/>
    <n v="18"/>
    <n v="3"/>
    <n v="3"/>
    <x v="0"/>
    <n v="0"/>
    <n v="33"/>
    <n v="0"/>
    <n v="3"/>
    <n v="12"/>
    <n v="9"/>
    <x v="2"/>
    <n v="8"/>
  </r>
  <r>
    <n v="43"/>
    <x v="1"/>
    <x v="1"/>
    <n v="422"/>
    <x v="1"/>
    <n v="1"/>
    <n v="3"/>
    <x v="0"/>
    <n v="1"/>
    <n v="902"/>
    <n v="4"/>
    <x v="0"/>
    <n v="33"/>
    <n v="3"/>
    <x v="0"/>
    <s v="Healthcare Representative"/>
    <n v="4"/>
    <s v="Married"/>
    <x v="622"/>
    <n v="21782"/>
    <n v="4"/>
    <s v="Y"/>
    <x v="1"/>
    <n v="13"/>
    <n v="3"/>
    <n v="2"/>
    <x v="0"/>
    <n v="1"/>
    <n v="12"/>
    <n v="2"/>
    <n v="2"/>
    <n v="5"/>
    <n v="2"/>
    <x v="3"/>
    <n v="2"/>
  </r>
  <r>
    <n v="47"/>
    <x v="1"/>
    <x v="0"/>
    <n v="249"/>
    <x v="0"/>
    <n v="2"/>
    <n v="2"/>
    <x v="3"/>
    <n v="1"/>
    <n v="903"/>
    <n v="3"/>
    <x v="0"/>
    <n v="35"/>
    <n v="3"/>
    <x v="0"/>
    <s v="Sales Executive"/>
    <n v="4"/>
    <s v="Married"/>
    <x v="623"/>
    <n v="17783"/>
    <n v="0"/>
    <s v="Y"/>
    <x v="0"/>
    <n v="22"/>
    <n v="4"/>
    <n v="1"/>
    <x v="0"/>
    <n v="1"/>
    <n v="8"/>
    <n v="2"/>
    <n v="3"/>
    <n v="7"/>
    <n v="6"/>
    <x v="4"/>
    <n v="7"/>
  </r>
  <r>
    <n v="37"/>
    <x v="1"/>
    <x v="2"/>
    <n v="1252"/>
    <x v="0"/>
    <n v="19"/>
    <n v="2"/>
    <x v="2"/>
    <n v="1"/>
    <n v="904"/>
    <n v="1"/>
    <x v="1"/>
    <n v="32"/>
    <n v="3"/>
    <x v="2"/>
    <s v="Sales Executive"/>
    <n v="2"/>
    <s v="Single"/>
    <x v="624"/>
    <n v="4814"/>
    <n v="1"/>
    <s v="Y"/>
    <x v="0"/>
    <n v="13"/>
    <n v="3"/>
    <n v="4"/>
    <x v="0"/>
    <n v="0"/>
    <n v="10"/>
    <n v="2"/>
    <n v="3"/>
    <n v="10"/>
    <n v="0"/>
    <x v="0"/>
    <n v="9"/>
  </r>
  <r>
    <n v="50"/>
    <x v="1"/>
    <x v="2"/>
    <n v="881"/>
    <x v="1"/>
    <n v="2"/>
    <n v="4"/>
    <x v="0"/>
    <n v="1"/>
    <n v="905"/>
    <n v="1"/>
    <x v="1"/>
    <n v="98"/>
    <n v="3"/>
    <x v="3"/>
    <s v="Manager"/>
    <n v="1"/>
    <s v="Divorced"/>
    <x v="625"/>
    <n v="4544"/>
    <n v="1"/>
    <s v="Y"/>
    <x v="1"/>
    <n v="11"/>
    <n v="3"/>
    <n v="4"/>
    <x v="0"/>
    <n v="1"/>
    <n v="31"/>
    <n v="3"/>
    <n v="3"/>
    <n v="31"/>
    <n v="6"/>
    <x v="15"/>
    <n v="7"/>
  </r>
  <r>
    <n v="39"/>
    <x v="1"/>
    <x v="0"/>
    <n v="1383"/>
    <x v="2"/>
    <n v="2"/>
    <n v="3"/>
    <x v="0"/>
    <n v="1"/>
    <n v="909"/>
    <n v="4"/>
    <x v="0"/>
    <n v="42"/>
    <n v="2"/>
    <x v="0"/>
    <s v="Human Resources"/>
    <n v="4"/>
    <s v="Married"/>
    <x v="626"/>
    <n v="7790"/>
    <n v="8"/>
    <s v="Y"/>
    <x v="1"/>
    <n v="11"/>
    <n v="3"/>
    <n v="3"/>
    <x v="0"/>
    <n v="2"/>
    <n v="13"/>
    <n v="2"/>
    <n v="3"/>
    <n v="5"/>
    <n v="4"/>
    <x v="0"/>
    <n v="4"/>
  </r>
  <r>
    <n v="33"/>
    <x v="1"/>
    <x v="0"/>
    <n v="1075"/>
    <x v="2"/>
    <n v="3"/>
    <n v="2"/>
    <x v="5"/>
    <n v="1"/>
    <n v="910"/>
    <n v="4"/>
    <x v="1"/>
    <n v="57"/>
    <n v="3"/>
    <x v="1"/>
    <s v="Human Resources"/>
    <n v="2"/>
    <s v="Divorced"/>
    <x v="627"/>
    <n v="22650"/>
    <n v="3"/>
    <s v="Y"/>
    <x v="0"/>
    <n v="11"/>
    <n v="3"/>
    <n v="3"/>
    <x v="0"/>
    <n v="1"/>
    <n v="7"/>
    <n v="4"/>
    <n v="4"/>
    <n v="4"/>
    <n v="3"/>
    <x v="0"/>
    <n v="3"/>
  </r>
  <r>
    <n v="32"/>
    <x v="0"/>
    <x v="0"/>
    <n v="374"/>
    <x v="1"/>
    <n v="25"/>
    <n v="4"/>
    <x v="0"/>
    <n v="1"/>
    <n v="911"/>
    <n v="1"/>
    <x v="1"/>
    <n v="87"/>
    <n v="3"/>
    <x v="1"/>
    <s v="Laboratory Technician"/>
    <n v="4"/>
    <s v="Single"/>
    <x v="628"/>
    <n v="18016"/>
    <n v="1"/>
    <s v="Y"/>
    <x v="0"/>
    <n v="24"/>
    <n v="4"/>
    <n v="3"/>
    <x v="0"/>
    <n v="0"/>
    <n v="1"/>
    <n v="2"/>
    <n v="1"/>
    <n v="1"/>
    <n v="0"/>
    <x v="0"/>
    <n v="1"/>
  </r>
  <r>
    <n v="29"/>
    <x v="1"/>
    <x v="0"/>
    <n v="1086"/>
    <x v="1"/>
    <n v="7"/>
    <n v="1"/>
    <x v="2"/>
    <n v="1"/>
    <n v="912"/>
    <n v="1"/>
    <x v="0"/>
    <n v="62"/>
    <n v="2"/>
    <x v="1"/>
    <s v="Laboratory Technician"/>
    <n v="4"/>
    <s v="Divorced"/>
    <x v="629"/>
    <n v="6054"/>
    <n v="6"/>
    <s v="Y"/>
    <x v="1"/>
    <n v="14"/>
    <n v="3"/>
    <n v="3"/>
    <x v="0"/>
    <n v="3"/>
    <n v="8"/>
    <n v="5"/>
    <n v="3"/>
    <n v="4"/>
    <n v="3"/>
    <x v="0"/>
    <n v="3"/>
  </r>
  <r>
    <n v="44"/>
    <x v="1"/>
    <x v="0"/>
    <n v="661"/>
    <x v="1"/>
    <n v="9"/>
    <n v="2"/>
    <x v="0"/>
    <n v="1"/>
    <n v="913"/>
    <n v="2"/>
    <x v="1"/>
    <n v="61"/>
    <n v="3"/>
    <x v="1"/>
    <s v="Research Scientist"/>
    <n v="1"/>
    <s v="Married"/>
    <x v="594"/>
    <n v="7508"/>
    <n v="1"/>
    <s v="Y"/>
    <x v="0"/>
    <n v="13"/>
    <n v="3"/>
    <n v="4"/>
    <x v="0"/>
    <n v="0"/>
    <n v="8"/>
    <n v="0"/>
    <n v="3"/>
    <n v="8"/>
    <n v="7"/>
    <x v="4"/>
    <n v="1"/>
  </r>
  <r>
    <n v="28"/>
    <x v="1"/>
    <x v="0"/>
    <n v="821"/>
    <x v="0"/>
    <n v="5"/>
    <n v="4"/>
    <x v="2"/>
    <n v="1"/>
    <n v="916"/>
    <n v="1"/>
    <x v="1"/>
    <n v="98"/>
    <n v="3"/>
    <x v="0"/>
    <s v="Sales Executive"/>
    <n v="4"/>
    <s v="Single"/>
    <x v="630"/>
    <n v="24252"/>
    <n v="1"/>
    <s v="Y"/>
    <x v="1"/>
    <n v="14"/>
    <n v="3"/>
    <n v="2"/>
    <x v="0"/>
    <n v="0"/>
    <n v="4"/>
    <n v="3"/>
    <n v="3"/>
    <n v="4"/>
    <n v="2"/>
    <x v="0"/>
    <n v="2"/>
  </r>
  <r>
    <n v="58"/>
    <x v="0"/>
    <x v="1"/>
    <n v="781"/>
    <x v="1"/>
    <n v="2"/>
    <n v="1"/>
    <x v="0"/>
    <n v="1"/>
    <n v="918"/>
    <n v="4"/>
    <x v="1"/>
    <n v="57"/>
    <n v="2"/>
    <x v="1"/>
    <s v="Laboratory Technician"/>
    <n v="4"/>
    <s v="Divorced"/>
    <x v="631"/>
    <n v="13384"/>
    <n v="9"/>
    <s v="Y"/>
    <x v="0"/>
    <n v="14"/>
    <n v="3"/>
    <n v="4"/>
    <x v="0"/>
    <n v="1"/>
    <n v="3"/>
    <n v="3"/>
    <n v="2"/>
    <n v="1"/>
    <n v="0"/>
    <x v="0"/>
    <n v="0"/>
  </r>
  <r>
    <n v="43"/>
    <x v="1"/>
    <x v="0"/>
    <n v="177"/>
    <x v="1"/>
    <n v="8"/>
    <n v="3"/>
    <x v="0"/>
    <n v="1"/>
    <n v="920"/>
    <n v="1"/>
    <x v="0"/>
    <n v="55"/>
    <n v="3"/>
    <x v="0"/>
    <s v="Manufacturing Director"/>
    <n v="2"/>
    <s v="Divorced"/>
    <x v="632"/>
    <n v="23814"/>
    <n v="4"/>
    <s v="Y"/>
    <x v="1"/>
    <n v="21"/>
    <n v="4"/>
    <n v="3"/>
    <x v="0"/>
    <n v="1"/>
    <n v="4"/>
    <n v="2"/>
    <n v="4"/>
    <n v="1"/>
    <n v="0"/>
    <x v="0"/>
    <n v="0"/>
  </r>
  <r>
    <n v="20"/>
    <x v="0"/>
    <x v="0"/>
    <n v="500"/>
    <x v="0"/>
    <n v="2"/>
    <n v="3"/>
    <x v="2"/>
    <n v="1"/>
    <n v="922"/>
    <n v="3"/>
    <x v="0"/>
    <n v="49"/>
    <n v="2"/>
    <x v="1"/>
    <s v="Sales Representative"/>
    <n v="3"/>
    <s v="Single"/>
    <x v="633"/>
    <n v="22052"/>
    <n v="1"/>
    <s v="Y"/>
    <x v="1"/>
    <n v="13"/>
    <n v="3"/>
    <n v="4"/>
    <x v="0"/>
    <n v="0"/>
    <n v="2"/>
    <n v="3"/>
    <n v="2"/>
    <n v="2"/>
    <n v="2"/>
    <x v="0"/>
    <n v="2"/>
  </r>
  <r>
    <n v="21"/>
    <x v="0"/>
    <x v="0"/>
    <n v="1427"/>
    <x v="1"/>
    <n v="18"/>
    <n v="1"/>
    <x v="1"/>
    <n v="1"/>
    <n v="923"/>
    <n v="4"/>
    <x v="0"/>
    <n v="65"/>
    <n v="3"/>
    <x v="1"/>
    <s v="Research Scientist"/>
    <n v="4"/>
    <s v="Single"/>
    <x v="7"/>
    <n v="8870"/>
    <n v="1"/>
    <s v="Y"/>
    <x v="1"/>
    <n v="19"/>
    <n v="3"/>
    <n v="1"/>
    <x v="0"/>
    <n v="0"/>
    <n v="1"/>
    <n v="3"/>
    <n v="2"/>
    <n v="1"/>
    <n v="0"/>
    <x v="0"/>
    <n v="0"/>
  </r>
  <r>
    <n v="36"/>
    <x v="1"/>
    <x v="0"/>
    <n v="1425"/>
    <x v="1"/>
    <n v="14"/>
    <n v="1"/>
    <x v="0"/>
    <n v="1"/>
    <n v="924"/>
    <n v="3"/>
    <x v="1"/>
    <n v="68"/>
    <n v="3"/>
    <x v="0"/>
    <s v="Healthcare Representative"/>
    <n v="4"/>
    <s v="Married"/>
    <x v="634"/>
    <n v="4821"/>
    <n v="0"/>
    <s v="Y"/>
    <x v="0"/>
    <n v="17"/>
    <n v="3"/>
    <n v="1"/>
    <x v="0"/>
    <n v="1"/>
    <n v="17"/>
    <n v="2"/>
    <n v="2"/>
    <n v="16"/>
    <n v="8"/>
    <x v="5"/>
    <n v="11"/>
  </r>
  <r>
    <n v="47"/>
    <x v="1"/>
    <x v="0"/>
    <n v="1454"/>
    <x v="0"/>
    <n v="2"/>
    <n v="4"/>
    <x v="0"/>
    <n v="1"/>
    <n v="925"/>
    <n v="4"/>
    <x v="0"/>
    <n v="65"/>
    <n v="2"/>
    <x v="1"/>
    <s v="Sales Representative"/>
    <n v="4"/>
    <s v="Single"/>
    <x v="635"/>
    <n v="13137"/>
    <n v="1"/>
    <s v="Y"/>
    <x v="0"/>
    <n v="18"/>
    <n v="3"/>
    <n v="1"/>
    <x v="0"/>
    <n v="0"/>
    <n v="3"/>
    <n v="3"/>
    <n v="2"/>
    <n v="3"/>
    <n v="2"/>
    <x v="1"/>
    <n v="2"/>
  </r>
  <r>
    <n v="22"/>
    <x v="0"/>
    <x v="0"/>
    <n v="617"/>
    <x v="1"/>
    <n v="3"/>
    <n v="1"/>
    <x v="0"/>
    <n v="1"/>
    <n v="926"/>
    <n v="2"/>
    <x v="0"/>
    <n v="34"/>
    <n v="3"/>
    <x v="0"/>
    <s v="Manufacturing Director"/>
    <n v="3"/>
    <s v="Married"/>
    <x v="636"/>
    <n v="10022"/>
    <n v="0"/>
    <s v="Y"/>
    <x v="0"/>
    <n v="19"/>
    <n v="3"/>
    <n v="1"/>
    <x v="0"/>
    <n v="1"/>
    <n v="4"/>
    <n v="3"/>
    <n v="4"/>
    <n v="3"/>
    <n v="2"/>
    <x v="0"/>
    <n v="2"/>
  </r>
  <r>
    <n v="41"/>
    <x v="0"/>
    <x v="0"/>
    <n v="1085"/>
    <x v="1"/>
    <n v="2"/>
    <n v="4"/>
    <x v="0"/>
    <n v="1"/>
    <n v="927"/>
    <n v="2"/>
    <x v="0"/>
    <n v="57"/>
    <n v="1"/>
    <x v="1"/>
    <s v="Laboratory Technician"/>
    <n v="4"/>
    <s v="Divorced"/>
    <x v="637"/>
    <n v="17725"/>
    <n v="4"/>
    <s v="Y"/>
    <x v="0"/>
    <n v="13"/>
    <n v="3"/>
    <n v="3"/>
    <x v="0"/>
    <n v="1"/>
    <n v="10"/>
    <n v="1"/>
    <n v="2"/>
    <n v="7"/>
    <n v="7"/>
    <x v="1"/>
    <n v="0"/>
  </r>
  <r>
    <n v="28"/>
    <x v="1"/>
    <x v="0"/>
    <n v="995"/>
    <x v="1"/>
    <n v="9"/>
    <n v="3"/>
    <x v="2"/>
    <n v="1"/>
    <n v="930"/>
    <n v="3"/>
    <x v="0"/>
    <n v="77"/>
    <n v="3"/>
    <x v="1"/>
    <s v="Research Scientist"/>
    <n v="3"/>
    <s v="Divorced"/>
    <x v="638"/>
    <n v="9834"/>
    <n v="5"/>
    <s v="Y"/>
    <x v="1"/>
    <n v="18"/>
    <n v="3"/>
    <n v="2"/>
    <x v="0"/>
    <n v="1"/>
    <n v="6"/>
    <n v="2"/>
    <n v="3"/>
    <n v="2"/>
    <n v="2"/>
    <x v="3"/>
    <n v="2"/>
  </r>
  <r>
    <n v="39"/>
    <x v="0"/>
    <x v="0"/>
    <n v="1122"/>
    <x v="1"/>
    <n v="6"/>
    <n v="3"/>
    <x v="2"/>
    <n v="1"/>
    <n v="932"/>
    <n v="4"/>
    <x v="1"/>
    <n v="70"/>
    <n v="3"/>
    <x v="1"/>
    <s v="Laboratory Technician"/>
    <n v="1"/>
    <s v="Married"/>
    <x v="639"/>
    <n v="4303"/>
    <n v="7"/>
    <s v="Y"/>
    <x v="0"/>
    <n v="21"/>
    <n v="4"/>
    <n v="4"/>
    <x v="0"/>
    <n v="0"/>
    <n v="8"/>
    <n v="2"/>
    <n v="1"/>
    <n v="2"/>
    <n v="2"/>
    <x v="3"/>
    <n v="2"/>
  </r>
  <r>
    <n v="27"/>
    <x v="1"/>
    <x v="0"/>
    <n v="618"/>
    <x v="1"/>
    <n v="4"/>
    <n v="3"/>
    <x v="0"/>
    <n v="1"/>
    <n v="933"/>
    <n v="2"/>
    <x v="0"/>
    <n v="76"/>
    <n v="3"/>
    <x v="1"/>
    <s v="Research Scientist"/>
    <n v="3"/>
    <s v="Single"/>
    <x v="640"/>
    <n v="17808"/>
    <n v="1"/>
    <s v="Y"/>
    <x v="1"/>
    <n v="19"/>
    <n v="3"/>
    <n v="3"/>
    <x v="0"/>
    <n v="0"/>
    <n v="1"/>
    <n v="2"/>
    <n v="3"/>
    <n v="1"/>
    <n v="1"/>
    <x v="0"/>
    <n v="0"/>
  </r>
  <r>
    <n v="34"/>
    <x v="1"/>
    <x v="0"/>
    <n v="546"/>
    <x v="1"/>
    <n v="10"/>
    <n v="3"/>
    <x v="0"/>
    <n v="1"/>
    <n v="934"/>
    <n v="2"/>
    <x v="1"/>
    <n v="83"/>
    <n v="3"/>
    <x v="1"/>
    <s v="Laboratory Technician"/>
    <n v="2"/>
    <s v="Divorced"/>
    <x v="641"/>
    <n v="6896"/>
    <n v="1"/>
    <s v="Y"/>
    <x v="1"/>
    <n v="14"/>
    <n v="3"/>
    <n v="2"/>
    <x v="0"/>
    <n v="2"/>
    <n v="1"/>
    <n v="3"/>
    <n v="3"/>
    <n v="1"/>
    <n v="0"/>
    <x v="1"/>
    <n v="0"/>
  </r>
  <r>
    <n v="42"/>
    <x v="1"/>
    <x v="0"/>
    <n v="462"/>
    <x v="0"/>
    <n v="14"/>
    <n v="2"/>
    <x v="2"/>
    <n v="1"/>
    <n v="936"/>
    <n v="3"/>
    <x v="0"/>
    <n v="68"/>
    <n v="2"/>
    <x v="0"/>
    <s v="Sales Executive"/>
    <n v="3"/>
    <s v="Single"/>
    <x v="642"/>
    <n v="7824"/>
    <n v="7"/>
    <s v="Y"/>
    <x v="1"/>
    <n v="17"/>
    <n v="3"/>
    <n v="1"/>
    <x v="0"/>
    <n v="0"/>
    <n v="10"/>
    <n v="6"/>
    <n v="3"/>
    <n v="5"/>
    <n v="4"/>
    <x v="0"/>
    <n v="3"/>
  </r>
  <r>
    <n v="33"/>
    <x v="1"/>
    <x v="0"/>
    <n v="1198"/>
    <x v="1"/>
    <n v="1"/>
    <n v="4"/>
    <x v="1"/>
    <n v="1"/>
    <n v="939"/>
    <n v="3"/>
    <x v="1"/>
    <n v="100"/>
    <n v="2"/>
    <x v="1"/>
    <s v="Research Scientist"/>
    <n v="1"/>
    <s v="Single"/>
    <x v="643"/>
    <n v="3339"/>
    <n v="3"/>
    <s v="Y"/>
    <x v="0"/>
    <n v="11"/>
    <n v="3"/>
    <n v="2"/>
    <x v="0"/>
    <n v="0"/>
    <n v="6"/>
    <n v="1"/>
    <n v="3"/>
    <n v="3"/>
    <n v="2"/>
    <x v="0"/>
    <n v="2"/>
  </r>
  <r>
    <n v="58"/>
    <x v="1"/>
    <x v="0"/>
    <n v="1272"/>
    <x v="1"/>
    <n v="5"/>
    <n v="3"/>
    <x v="4"/>
    <n v="1"/>
    <n v="940"/>
    <n v="3"/>
    <x v="0"/>
    <n v="37"/>
    <n v="2"/>
    <x v="2"/>
    <s v="Healthcare Representative"/>
    <n v="2"/>
    <s v="Divorced"/>
    <x v="644"/>
    <n v="9255"/>
    <n v="2"/>
    <s v="Y"/>
    <x v="0"/>
    <n v="13"/>
    <n v="3"/>
    <n v="4"/>
    <x v="0"/>
    <n v="1"/>
    <n v="24"/>
    <n v="3"/>
    <n v="3"/>
    <n v="6"/>
    <n v="0"/>
    <x v="0"/>
    <n v="4"/>
  </r>
  <r>
    <n v="31"/>
    <x v="1"/>
    <x v="0"/>
    <n v="154"/>
    <x v="0"/>
    <n v="7"/>
    <n v="4"/>
    <x v="0"/>
    <n v="1"/>
    <n v="941"/>
    <n v="2"/>
    <x v="1"/>
    <n v="41"/>
    <n v="2"/>
    <x v="1"/>
    <s v="Sales Representative"/>
    <n v="3"/>
    <s v="Married"/>
    <x v="645"/>
    <n v="11737"/>
    <n v="3"/>
    <s v="Y"/>
    <x v="1"/>
    <n v="15"/>
    <n v="3"/>
    <n v="2"/>
    <x v="0"/>
    <n v="0"/>
    <n v="13"/>
    <n v="2"/>
    <n v="4"/>
    <n v="7"/>
    <n v="7"/>
    <x v="8"/>
    <n v="2"/>
  </r>
  <r>
    <n v="35"/>
    <x v="1"/>
    <x v="0"/>
    <n v="1137"/>
    <x v="1"/>
    <n v="21"/>
    <n v="1"/>
    <x v="0"/>
    <n v="1"/>
    <n v="942"/>
    <n v="4"/>
    <x v="0"/>
    <n v="51"/>
    <n v="3"/>
    <x v="0"/>
    <s v="Healthcare Representative"/>
    <n v="4"/>
    <s v="Married"/>
    <x v="55"/>
    <n v="19170"/>
    <n v="1"/>
    <s v="Y"/>
    <x v="0"/>
    <n v="25"/>
    <n v="4"/>
    <n v="4"/>
    <x v="0"/>
    <n v="1"/>
    <n v="10"/>
    <n v="2"/>
    <n v="1"/>
    <n v="10"/>
    <n v="6"/>
    <x v="0"/>
    <n v="7"/>
  </r>
  <r>
    <n v="49"/>
    <x v="1"/>
    <x v="0"/>
    <n v="527"/>
    <x v="1"/>
    <n v="8"/>
    <n v="2"/>
    <x v="1"/>
    <n v="1"/>
    <n v="944"/>
    <n v="1"/>
    <x v="0"/>
    <n v="51"/>
    <n v="3"/>
    <x v="2"/>
    <s v="Laboratory Technician"/>
    <n v="2"/>
    <s v="Married"/>
    <x v="646"/>
    <n v="22477"/>
    <n v="4"/>
    <s v="Y"/>
    <x v="1"/>
    <n v="11"/>
    <n v="3"/>
    <n v="3"/>
    <x v="0"/>
    <n v="1"/>
    <n v="29"/>
    <n v="3"/>
    <n v="2"/>
    <n v="26"/>
    <n v="9"/>
    <x v="1"/>
    <n v="7"/>
  </r>
  <r>
    <n v="48"/>
    <x v="1"/>
    <x v="0"/>
    <n v="1469"/>
    <x v="1"/>
    <n v="20"/>
    <n v="4"/>
    <x v="2"/>
    <n v="1"/>
    <n v="945"/>
    <n v="4"/>
    <x v="1"/>
    <n v="51"/>
    <n v="3"/>
    <x v="1"/>
    <s v="Research Scientist"/>
    <n v="3"/>
    <s v="Married"/>
    <x v="647"/>
    <n v="5543"/>
    <n v="4"/>
    <s v="Y"/>
    <x v="1"/>
    <n v="17"/>
    <n v="3"/>
    <n v="1"/>
    <x v="0"/>
    <n v="2"/>
    <n v="13"/>
    <n v="2"/>
    <n v="2"/>
    <n v="0"/>
    <n v="0"/>
    <x v="0"/>
    <n v="0"/>
  </r>
  <r>
    <n v="31"/>
    <x v="1"/>
    <x v="2"/>
    <n v="1188"/>
    <x v="0"/>
    <n v="20"/>
    <n v="2"/>
    <x v="3"/>
    <n v="1"/>
    <n v="947"/>
    <n v="4"/>
    <x v="0"/>
    <n v="45"/>
    <n v="3"/>
    <x v="0"/>
    <s v="Sales Executive"/>
    <n v="3"/>
    <s v="Married"/>
    <x v="648"/>
    <n v="24406"/>
    <n v="1"/>
    <s v="Y"/>
    <x v="1"/>
    <n v="13"/>
    <n v="3"/>
    <n v="4"/>
    <x v="0"/>
    <n v="1"/>
    <n v="9"/>
    <n v="2"/>
    <n v="2"/>
    <n v="9"/>
    <n v="8"/>
    <x v="0"/>
    <n v="0"/>
  </r>
  <r>
    <n v="36"/>
    <x v="1"/>
    <x v="0"/>
    <n v="188"/>
    <x v="1"/>
    <n v="7"/>
    <n v="4"/>
    <x v="1"/>
    <n v="1"/>
    <n v="949"/>
    <n v="2"/>
    <x v="1"/>
    <n v="65"/>
    <n v="3"/>
    <x v="1"/>
    <s v="Research Scientist"/>
    <n v="4"/>
    <s v="Single"/>
    <x v="649"/>
    <n v="23293"/>
    <n v="2"/>
    <s v="Y"/>
    <x v="1"/>
    <n v="18"/>
    <n v="3"/>
    <n v="3"/>
    <x v="0"/>
    <n v="0"/>
    <n v="8"/>
    <n v="6"/>
    <n v="3"/>
    <n v="6"/>
    <n v="2"/>
    <x v="0"/>
    <n v="1"/>
  </r>
  <r>
    <n v="38"/>
    <x v="1"/>
    <x v="0"/>
    <n v="1333"/>
    <x v="1"/>
    <n v="1"/>
    <n v="3"/>
    <x v="4"/>
    <n v="1"/>
    <n v="950"/>
    <n v="4"/>
    <x v="0"/>
    <n v="80"/>
    <n v="3"/>
    <x v="2"/>
    <s v="Research Director"/>
    <n v="1"/>
    <s v="Married"/>
    <x v="650"/>
    <n v="16292"/>
    <n v="1"/>
    <s v="Y"/>
    <x v="1"/>
    <n v="13"/>
    <n v="3"/>
    <n v="2"/>
    <x v="0"/>
    <n v="1"/>
    <n v="15"/>
    <n v="3"/>
    <n v="3"/>
    <n v="15"/>
    <n v="12"/>
    <x v="8"/>
    <n v="11"/>
  </r>
  <r>
    <n v="32"/>
    <x v="1"/>
    <x v="2"/>
    <n v="1184"/>
    <x v="1"/>
    <n v="1"/>
    <n v="3"/>
    <x v="0"/>
    <n v="1"/>
    <n v="951"/>
    <n v="3"/>
    <x v="0"/>
    <n v="70"/>
    <n v="2"/>
    <x v="1"/>
    <s v="Laboratory Technician"/>
    <n v="2"/>
    <s v="Married"/>
    <x v="651"/>
    <n v="3974"/>
    <n v="6"/>
    <s v="Y"/>
    <x v="1"/>
    <n v="20"/>
    <n v="4"/>
    <n v="3"/>
    <x v="0"/>
    <n v="0"/>
    <n v="5"/>
    <n v="3"/>
    <n v="3"/>
    <n v="3"/>
    <n v="0"/>
    <x v="0"/>
    <n v="2"/>
  </r>
  <r>
    <n v="25"/>
    <x v="0"/>
    <x v="0"/>
    <n v="867"/>
    <x v="0"/>
    <n v="19"/>
    <n v="2"/>
    <x v="3"/>
    <n v="1"/>
    <n v="952"/>
    <n v="3"/>
    <x v="1"/>
    <n v="36"/>
    <n v="2"/>
    <x v="1"/>
    <s v="Sales Representative"/>
    <n v="2"/>
    <s v="Married"/>
    <x v="652"/>
    <n v="18798"/>
    <n v="1"/>
    <s v="Y"/>
    <x v="0"/>
    <n v="18"/>
    <n v="3"/>
    <n v="3"/>
    <x v="0"/>
    <n v="3"/>
    <n v="1"/>
    <n v="2"/>
    <n v="3"/>
    <n v="1"/>
    <n v="0"/>
    <x v="0"/>
    <n v="0"/>
  </r>
  <r>
    <n v="40"/>
    <x v="1"/>
    <x v="0"/>
    <n v="658"/>
    <x v="0"/>
    <n v="10"/>
    <n v="4"/>
    <x v="3"/>
    <n v="1"/>
    <n v="954"/>
    <n v="1"/>
    <x v="1"/>
    <n v="67"/>
    <n v="2"/>
    <x v="2"/>
    <s v="Sales Executive"/>
    <n v="2"/>
    <s v="Divorced"/>
    <x v="653"/>
    <n v="20652"/>
    <n v="2"/>
    <s v="Y"/>
    <x v="1"/>
    <n v="12"/>
    <n v="3"/>
    <n v="2"/>
    <x v="0"/>
    <n v="1"/>
    <n v="11"/>
    <n v="2"/>
    <n v="2"/>
    <n v="1"/>
    <n v="0"/>
    <x v="0"/>
    <n v="0"/>
  </r>
  <r>
    <n v="26"/>
    <x v="1"/>
    <x v="1"/>
    <n v="1283"/>
    <x v="0"/>
    <n v="1"/>
    <n v="3"/>
    <x v="2"/>
    <n v="1"/>
    <n v="956"/>
    <n v="3"/>
    <x v="1"/>
    <n v="52"/>
    <n v="2"/>
    <x v="0"/>
    <s v="Sales Executive"/>
    <n v="1"/>
    <s v="Single"/>
    <x v="654"/>
    <n v="11148"/>
    <n v="1"/>
    <s v="Y"/>
    <x v="1"/>
    <n v="12"/>
    <n v="3"/>
    <n v="2"/>
    <x v="0"/>
    <n v="0"/>
    <n v="7"/>
    <n v="2"/>
    <n v="3"/>
    <n v="7"/>
    <n v="7"/>
    <x v="0"/>
    <n v="7"/>
  </r>
  <r>
    <n v="41"/>
    <x v="1"/>
    <x v="0"/>
    <n v="263"/>
    <x v="1"/>
    <n v="6"/>
    <n v="3"/>
    <x v="2"/>
    <n v="1"/>
    <n v="957"/>
    <n v="4"/>
    <x v="1"/>
    <n v="59"/>
    <n v="3"/>
    <x v="1"/>
    <s v="Laboratory Technician"/>
    <n v="1"/>
    <s v="Single"/>
    <x v="655"/>
    <n v="3119"/>
    <n v="2"/>
    <s v="Y"/>
    <x v="0"/>
    <n v="13"/>
    <n v="3"/>
    <n v="3"/>
    <x v="0"/>
    <n v="0"/>
    <n v="20"/>
    <n v="3"/>
    <n v="3"/>
    <n v="18"/>
    <n v="13"/>
    <x v="3"/>
    <n v="17"/>
  </r>
  <r>
    <n v="36"/>
    <x v="1"/>
    <x v="0"/>
    <n v="938"/>
    <x v="1"/>
    <n v="2"/>
    <n v="4"/>
    <x v="2"/>
    <n v="1"/>
    <n v="958"/>
    <n v="3"/>
    <x v="1"/>
    <n v="79"/>
    <n v="3"/>
    <x v="1"/>
    <s v="Laboratory Technician"/>
    <n v="3"/>
    <s v="Single"/>
    <x v="656"/>
    <n v="12287"/>
    <n v="4"/>
    <s v="Y"/>
    <x v="1"/>
    <n v="21"/>
    <n v="4"/>
    <n v="3"/>
    <x v="0"/>
    <n v="0"/>
    <n v="16"/>
    <n v="6"/>
    <n v="3"/>
    <n v="11"/>
    <n v="8"/>
    <x v="2"/>
    <n v="9"/>
  </r>
  <r>
    <n v="19"/>
    <x v="0"/>
    <x v="0"/>
    <n v="419"/>
    <x v="0"/>
    <n v="21"/>
    <n v="3"/>
    <x v="1"/>
    <n v="1"/>
    <n v="959"/>
    <n v="4"/>
    <x v="1"/>
    <n v="37"/>
    <n v="2"/>
    <x v="1"/>
    <s v="Sales Representative"/>
    <n v="2"/>
    <s v="Single"/>
    <x v="657"/>
    <n v="9947"/>
    <n v="1"/>
    <s v="Y"/>
    <x v="0"/>
    <n v="13"/>
    <n v="3"/>
    <n v="2"/>
    <x v="0"/>
    <n v="0"/>
    <n v="1"/>
    <n v="3"/>
    <n v="4"/>
    <n v="1"/>
    <n v="0"/>
    <x v="0"/>
    <n v="0"/>
  </r>
  <r>
    <n v="20"/>
    <x v="0"/>
    <x v="0"/>
    <n v="129"/>
    <x v="1"/>
    <n v="4"/>
    <n v="3"/>
    <x v="4"/>
    <n v="1"/>
    <n v="960"/>
    <n v="1"/>
    <x v="1"/>
    <n v="84"/>
    <n v="3"/>
    <x v="1"/>
    <s v="Laboratory Technician"/>
    <n v="1"/>
    <s v="Single"/>
    <x v="620"/>
    <n v="13008"/>
    <n v="1"/>
    <s v="Y"/>
    <x v="1"/>
    <n v="19"/>
    <n v="3"/>
    <n v="2"/>
    <x v="0"/>
    <n v="0"/>
    <n v="1"/>
    <n v="2"/>
    <n v="3"/>
    <n v="1"/>
    <n v="0"/>
    <x v="0"/>
    <n v="0"/>
  </r>
  <r>
    <n v="31"/>
    <x v="1"/>
    <x v="0"/>
    <n v="616"/>
    <x v="1"/>
    <n v="12"/>
    <n v="3"/>
    <x v="2"/>
    <n v="1"/>
    <n v="961"/>
    <n v="4"/>
    <x v="0"/>
    <n v="41"/>
    <n v="3"/>
    <x v="0"/>
    <s v="Healthcare Representative"/>
    <n v="4"/>
    <s v="Married"/>
    <x v="658"/>
    <n v="17369"/>
    <n v="0"/>
    <s v="Y"/>
    <x v="0"/>
    <n v="11"/>
    <n v="3"/>
    <n v="3"/>
    <x v="0"/>
    <n v="2"/>
    <n v="10"/>
    <n v="2"/>
    <n v="1"/>
    <n v="9"/>
    <n v="7"/>
    <x v="6"/>
    <n v="5"/>
  </r>
  <r>
    <n v="40"/>
    <x v="1"/>
    <x v="1"/>
    <n v="1469"/>
    <x v="1"/>
    <n v="9"/>
    <n v="4"/>
    <x v="2"/>
    <n v="1"/>
    <n v="964"/>
    <n v="4"/>
    <x v="1"/>
    <n v="35"/>
    <n v="3"/>
    <x v="1"/>
    <s v="Research Scientist"/>
    <n v="2"/>
    <s v="Divorced"/>
    <x v="659"/>
    <n v="25063"/>
    <n v="8"/>
    <s v="Y"/>
    <x v="0"/>
    <n v="14"/>
    <n v="3"/>
    <n v="4"/>
    <x v="0"/>
    <n v="1"/>
    <n v="3"/>
    <n v="2"/>
    <n v="3"/>
    <n v="1"/>
    <n v="1"/>
    <x v="0"/>
    <n v="0"/>
  </r>
  <r>
    <n v="32"/>
    <x v="1"/>
    <x v="0"/>
    <n v="498"/>
    <x v="1"/>
    <n v="3"/>
    <n v="4"/>
    <x v="2"/>
    <n v="1"/>
    <n v="966"/>
    <n v="3"/>
    <x v="0"/>
    <n v="93"/>
    <n v="3"/>
    <x v="0"/>
    <s v="Manufacturing Director"/>
    <n v="1"/>
    <s v="Married"/>
    <x v="660"/>
    <n v="13554"/>
    <n v="1"/>
    <s v="Y"/>
    <x v="1"/>
    <n v="12"/>
    <n v="3"/>
    <n v="3"/>
    <x v="0"/>
    <n v="1"/>
    <n v="8"/>
    <n v="2"/>
    <n v="4"/>
    <n v="8"/>
    <n v="7"/>
    <x v="7"/>
    <n v="3"/>
  </r>
  <r>
    <n v="36"/>
    <x v="0"/>
    <x v="0"/>
    <n v="530"/>
    <x v="0"/>
    <n v="3"/>
    <n v="1"/>
    <x v="0"/>
    <n v="1"/>
    <n v="967"/>
    <n v="3"/>
    <x v="1"/>
    <n v="51"/>
    <n v="2"/>
    <x v="2"/>
    <s v="Sales Executive"/>
    <n v="4"/>
    <s v="Married"/>
    <x v="661"/>
    <n v="5518"/>
    <n v="1"/>
    <s v="Y"/>
    <x v="0"/>
    <n v="11"/>
    <n v="3"/>
    <n v="1"/>
    <x v="0"/>
    <n v="1"/>
    <n v="16"/>
    <n v="6"/>
    <n v="3"/>
    <n v="16"/>
    <n v="7"/>
    <x v="2"/>
    <n v="7"/>
  </r>
  <r>
    <n v="33"/>
    <x v="1"/>
    <x v="0"/>
    <n v="1069"/>
    <x v="1"/>
    <n v="1"/>
    <n v="3"/>
    <x v="0"/>
    <n v="1"/>
    <n v="969"/>
    <n v="2"/>
    <x v="0"/>
    <n v="42"/>
    <n v="2"/>
    <x v="0"/>
    <s v="Healthcare Representative"/>
    <n v="4"/>
    <s v="Single"/>
    <x v="662"/>
    <n v="12291"/>
    <n v="0"/>
    <s v="Y"/>
    <x v="1"/>
    <n v="14"/>
    <n v="3"/>
    <n v="1"/>
    <x v="0"/>
    <n v="0"/>
    <n v="6"/>
    <n v="3"/>
    <n v="3"/>
    <n v="5"/>
    <n v="0"/>
    <x v="1"/>
    <n v="4"/>
  </r>
  <r>
    <n v="37"/>
    <x v="0"/>
    <x v="0"/>
    <n v="625"/>
    <x v="0"/>
    <n v="1"/>
    <n v="4"/>
    <x v="0"/>
    <n v="1"/>
    <n v="970"/>
    <n v="1"/>
    <x v="1"/>
    <n v="46"/>
    <n v="2"/>
    <x v="2"/>
    <s v="Sales Executive"/>
    <n v="3"/>
    <s v="Married"/>
    <x v="219"/>
    <n v="14922"/>
    <n v="5"/>
    <s v="Y"/>
    <x v="1"/>
    <n v="11"/>
    <n v="3"/>
    <n v="3"/>
    <x v="0"/>
    <n v="0"/>
    <n v="17"/>
    <n v="2"/>
    <n v="1"/>
    <n v="14"/>
    <n v="1"/>
    <x v="14"/>
    <n v="7"/>
  </r>
  <r>
    <n v="45"/>
    <x v="1"/>
    <x v="2"/>
    <n v="805"/>
    <x v="1"/>
    <n v="4"/>
    <n v="2"/>
    <x v="0"/>
    <n v="1"/>
    <n v="972"/>
    <n v="3"/>
    <x v="1"/>
    <n v="57"/>
    <n v="3"/>
    <x v="0"/>
    <s v="Laboratory Technician"/>
    <n v="2"/>
    <s v="Married"/>
    <x v="663"/>
    <n v="23163"/>
    <n v="1"/>
    <s v="Y"/>
    <x v="1"/>
    <n v="12"/>
    <n v="3"/>
    <n v="2"/>
    <x v="0"/>
    <n v="0"/>
    <n v="9"/>
    <n v="5"/>
    <n v="2"/>
    <n v="9"/>
    <n v="7"/>
    <x v="0"/>
    <n v="8"/>
  </r>
  <r>
    <n v="29"/>
    <x v="1"/>
    <x v="1"/>
    <n v="1404"/>
    <x v="0"/>
    <n v="20"/>
    <n v="3"/>
    <x v="4"/>
    <n v="1"/>
    <n v="974"/>
    <n v="3"/>
    <x v="0"/>
    <n v="84"/>
    <n v="3"/>
    <x v="1"/>
    <s v="Sales Representative"/>
    <n v="4"/>
    <s v="Married"/>
    <x v="664"/>
    <n v="18203"/>
    <n v="1"/>
    <s v="Y"/>
    <x v="1"/>
    <n v="15"/>
    <n v="3"/>
    <n v="2"/>
    <x v="0"/>
    <n v="1"/>
    <n v="3"/>
    <n v="5"/>
    <n v="3"/>
    <n v="3"/>
    <n v="1"/>
    <x v="0"/>
    <n v="2"/>
  </r>
  <r>
    <n v="35"/>
    <x v="1"/>
    <x v="0"/>
    <n v="1219"/>
    <x v="0"/>
    <n v="18"/>
    <n v="3"/>
    <x v="2"/>
    <n v="1"/>
    <n v="975"/>
    <n v="3"/>
    <x v="0"/>
    <n v="86"/>
    <n v="3"/>
    <x v="0"/>
    <s v="Sales Executive"/>
    <n v="3"/>
    <s v="Married"/>
    <x v="665"/>
    <n v="6179"/>
    <n v="1"/>
    <s v="Y"/>
    <x v="1"/>
    <n v="16"/>
    <n v="3"/>
    <n v="2"/>
    <x v="0"/>
    <n v="0"/>
    <n v="5"/>
    <n v="3"/>
    <n v="3"/>
    <n v="5"/>
    <n v="2"/>
    <x v="1"/>
    <n v="0"/>
  </r>
  <r>
    <n v="52"/>
    <x v="1"/>
    <x v="0"/>
    <n v="1053"/>
    <x v="1"/>
    <n v="1"/>
    <n v="2"/>
    <x v="0"/>
    <n v="1"/>
    <n v="976"/>
    <n v="4"/>
    <x v="1"/>
    <n v="70"/>
    <n v="3"/>
    <x v="3"/>
    <s v="Manager"/>
    <n v="4"/>
    <s v="Married"/>
    <x v="666"/>
    <n v="13829"/>
    <n v="2"/>
    <s v="Y"/>
    <x v="1"/>
    <n v="15"/>
    <n v="3"/>
    <n v="2"/>
    <x v="0"/>
    <n v="1"/>
    <n v="26"/>
    <n v="2"/>
    <n v="2"/>
    <n v="9"/>
    <n v="8"/>
    <x v="4"/>
    <n v="8"/>
  </r>
  <r>
    <n v="58"/>
    <x v="0"/>
    <x v="0"/>
    <n v="289"/>
    <x v="1"/>
    <n v="2"/>
    <n v="3"/>
    <x v="4"/>
    <n v="1"/>
    <n v="977"/>
    <n v="4"/>
    <x v="1"/>
    <n v="51"/>
    <n v="3"/>
    <x v="1"/>
    <s v="Research Scientist"/>
    <n v="3"/>
    <s v="Single"/>
    <x v="667"/>
    <n v="26227"/>
    <n v="4"/>
    <s v="Y"/>
    <x v="1"/>
    <n v="24"/>
    <n v="4"/>
    <n v="1"/>
    <x v="0"/>
    <n v="0"/>
    <n v="7"/>
    <n v="4"/>
    <n v="3"/>
    <n v="1"/>
    <n v="0"/>
    <x v="0"/>
    <n v="0"/>
  </r>
  <r>
    <n v="53"/>
    <x v="1"/>
    <x v="0"/>
    <n v="1376"/>
    <x v="0"/>
    <n v="2"/>
    <n v="2"/>
    <x v="2"/>
    <n v="1"/>
    <n v="981"/>
    <n v="3"/>
    <x v="1"/>
    <n v="45"/>
    <n v="3"/>
    <x v="3"/>
    <s v="Manager"/>
    <n v="3"/>
    <s v="Divorced"/>
    <x v="668"/>
    <n v="13938"/>
    <n v="6"/>
    <s v="Y"/>
    <x v="1"/>
    <n v="13"/>
    <n v="3"/>
    <n v="3"/>
    <x v="0"/>
    <n v="1"/>
    <n v="22"/>
    <n v="3"/>
    <n v="4"/>
    <n v="17"/>
    <n v="13"/>
    <x v="9"/>
    <n v="2"/>
  </r>
  <r>
    <n v="30"/>
    <x v="1"/>
    <x v="0"/>
    <n v="231"/>
    <x v="0"/>
    <n v="8"/>
    <n v="2"/>
    <x v="1"/>
    <n v="1"/>
    <n v="982"/>
    <n v="3"/>
    <x v="1"/>
    <n v="62"/>
    <n v="3"/>
    <x v="2"/>
    <s v="Sales Executive"/>
    <n v="3"/>
    <s v="Divorced"/>
    <x v="669"/>
    <n v="9977"/>
    <n v="5"/>
    <s v="Y"/>
    <x v="1"/>
    <n v="11"/>
    <n v="3"/>
    <n v="1"/>
    <x v="0"/>
    <n v="1"/>
    <n v="10"/>
    <n v="2"/>
    <n v="4"/>
    <n v="8"/>
    <n v="4"/>
    <x v="4"/>
    <n v="7"/>
  </r>
  <r>
    <n v="38"/>
    <x v="1"/>
    <x v="2"/>
    <n v="152"/>
    <x v="0"/>
    <n v="10"/>
    <n v="3"/>
    <x v="4"/>
    <n v="1"/>
    <n v="983"/>
    <n v="3"/>
    <x v="0"/>
    <n v="85"/>
    <n v="3"/>
    <x v="0"/>
    <s v="Sales Executive"/>
    <n v="4"/>
    <s v="Single"/>
    <x v="670"/>
    <n v="19899"/>
    <n v="1"/>
    <s v="Y"/>
    <x v="0"/>
    <n v="13"/>
    <n v="3"/>
    <n v="2"/>
    <x v="0"/>
    <n v="0"/>
    <n v="6"/>
    <n v="1"/>
    <n v="3"/>
    <n v="5"/>
    <n v="3"/>
    <x v="1"/>
    <n v="3"/>
  </r>
  <r>
    <n v="35"/>
    <x v="1"/>
    <x v="0"/>
    <n v="882"/>
    <x v="0"/>
    <n v="3"/>
    <n v="4"/>
    <x v="0"/>
    <n v="1"/>
    <n v="984"/>
    <n v="4"/>
    <x v="1"/>
    <n v="92"/>
    <n v="3"/>
    <x v="2"/>
    <s v="Sales Executive"/>
    <n v="4"/>
    <s v="Divorced"/>
    <x v="671"/>
    <n v="6812"/>
    <n v="6"/>
    <s v="Y"/>
    <x v="1"/>
    <n v="13"/>
    <n v="3"/>
    <n v="2"/>
    <x v="0"/>
    <n v="1"/>
    <n v="12"/>
    <n v="2"/>
    <n v="3"/>
    <n v="10"/>
    <n v="9"/>
    <x v="0"/>
    <n v="8"/>
  </r>
  <r>
    <n v="39"/>
    <x v="1"/>
    <x v="0"/>
    <n v="903"/>
    <x v="0"/>
    <n v="2"/>
    <n v="5"/>
    <x v="0"/>
    <n v="1"/>
    <n v="985"/>
    <n v="1"/>
    <x v="1"/>
    <n v="41"/>
    <n v="4"/>
    <x v="2"/>
    <s v="Sales Executive"/>
    <n v="3"/>
    <s v="Single"/>
    <x v="672"/>
    <n v="2560"/>
    <n v="0"/>
    <s v="Y"/>
    <x v="1"/>
    <n v="18"/>
    <n v="3"/>
    <n v="4"/>
    <x v="0"/>
    <n v="0"/>
    <n v="9"/>
    <n v="3"/>
    <n v="3"/>
    <n v="8"/>
    <n v="7"/>
    <x v="0"/>
    <n v="7"/>
  </r>
  <r>
    <n v="40"/>
    <x v="0"/>
    <x v="2"/>
    <n v="1479"/>
    <x v="0"/>
    <n v="24"/>
    <n v="3"/>
    <x v="0"/>
    <n v="1"/>
    <n v="986"/>
    <n v="2"/>
    <x v="0"/>
    <n v="100"/>
    <n v="4"/>
    <x v="3"/>
    <s v="Sales Executive"/>
    <n v="2"/>
    <s v="Single"/>
    <x v="673"/>
    <n v="17071"/>
    <n v="4"/>
    <s v="Y"/>
    <x v="0"/>
    <n v="16"/>
    <n v="3"/>
    <n v="4"/>
    <x v="0"/>
    <n v="0"/>
    <n v="22"/>
    <n v="2"/>
    <n v="2"/>
    <n v="1"/>
    <n v="0"/>
    <x v="0"/>
    <n v="0"/>
  </r>
  <r>
    <n v="47"/>
    <x v="1"/>
    <x v="1"/>
    <n v="1379"/>
    <x v="1"/>
    <n v="16"/>
    <n v="4"/>
    <x v="2"/>
    <n v="1"/>
    <n v="987"/>
    <n v="3"/>
    <x v="1"/>
    <n v="64"/>
    <n v="4"/>
    <x v="0"/>
    <s v="Manufacturing Director"/>
    <n v="3"/>
    <s v="Divorced"/>
    <x v="674"/>
    <n v="6759"/>
    <n v="1"/>
    <s v="Y"/>
    <x v="0"/>
    <n v="19"/>
    <n v="3"/>
    <n v="3"/>
    <x v="0"/>
    <n v="0"/>
    <n v="20"/>
    <n v="3"/>
    <n v="4"/>
    <n v="19"/>
    <n v="10"/>
    <x v="3"/>
    <n v="7"/>
  </r>
  <r>
    <n v="36"/>
    <x v="1"/>
    <x v="2"/>
    <n v="1229"/>
    <x v="0"/>
    <n v="8"/>
    <n v="4"/>
    <x v="4"/>
    <n v="1"/>
    <n v="990"/>
    <n v="1"/>
    <x v="1"/>
    <n v="84"/>
    <n v="3"/>
    <x v="0"/>
    <s v="Sales Executive"/>
    <n v="4"/>
    <s v="Divorced"/>
    <x v="675"/>
    <n v="25952"/>
    <n v="4"/>
    <s v="Y"/>
    <x v="1"/>
    <n v="13"/>
    <n v="3"/>
    <n v="4"/>
    <x v="0"/>
    <n v="2"/>
    <n v="12"/>
    <n v="3"/>
    <n v="3"/>
    <n v="7"/>
    <n v="7"/>
    <x v="0"/>
    <n v="7"/>
  </r>
  <r>
    <n v="31"/>
    <x v="0"/>
    <x v="2"/>
    <n v="335"/>
    <x v="1"/>
    <n v="9"/>
    <n v="2"/>
    <x v="2"/>
    <n v="1"/>
    <n v="991"/>
    <n v="3"/>
    <x v="1"/>
    <n v="46"/>
    <n v="2"/>
    <x v="1"/>
    <s v="Research Scientist"/>
    <n v="1"/>
    <s v="Single"/>
    <x v="676"/>
    <n v="10322"/>
    <n v="0"/>
    <s v="Y"/>
    <x v="0"/>
    <n v="22"/>
    <n v="4"/>
    <n v="1"/>
    <x v="0"/>
    <n v="0"/>
    <n v="4"/>
    <n v="0"/>
    <n v="3"/>
    <n v="3"/>
    <n v="2"/>
    <x v="1"/>
    <n v="2"/>
  </r>
  <r>
    <n v="33"/>
    <x v="1"/>
    <x v="2"/>
    <n v="722"/>
    <x v="0"/>
    <n v="17"/>
    <n v="3"/>
    <x v="0"/>
    <n v="1"/>
    <n v="992"/>
    <n v="4"/>
    <x v="1"/>
    <n v="38"/>
    <n v="3"/>
    <x v="3"/>
    <s v="Manager"/>
    <n v="3"/>
    <s v="Single"/>
    <x v="677"/>
    <n v="20489"/>
    <n v="1"/>
    <s v="Y"/>
    <x v="1"/>
    <n v="11"/>
    <n v="3"/>
    <n v="4"/>
    <x v="0"/>
    <n v="0"/>
    <n v="10"/>
    <n v="2"/>
    <n v="3"/>
    <n v="10"/>
    <n v="8"/>
    <x v="7"/>
    <n v="0"/>
  </r>
  <r>
    <n v="29"/>
    <x v="0"/>
    <x v="0"/>
    <n v="906"/>
    <x v="1"/>
    <n v="10"/>
    <n v="3"/>
    <x v="0"/>
    <n v="1"/>
    <n v="994"/>
    <n v="4"/>
    <x v="0"/>
    <n v="92"/>
    <n v="2"/>
    <x v="1"/>
    <s v="Research Scientist"/>
    <n v="1"/>
    <s v="Single"/>
    <x v="639"/>
    <n v="11479"/>
    <n v="6"/>
    <s v="Y"/>
    <x v="0"/>
    <n v="20"/>
    <n v="4"/>
    <n v="3"/>
    <x v="0"/>
    <n v="0"/>
    <n v="3"/>
    <n v="5"/>
    <n v="3"/>
    <n v="0"/>
    <n v="0"/>
    <x v="0"/>
    <n v="0"/>
  </r>
  <r>
    <n v="33"/>
    <x v="1"/>
    <x v="0"/>
    <n v="461"/>
    <x v="1"/>
    <n v="13"/>
    <n v="1"/>
    <x v="0"/>
    <n v="1"/>
    <n v="995"/>
    <n v="2"/>
    <x v="0"/>
    <n v="53"/>
    <n v="3"/>
    <x v="1"/>
    <s v="Research Scientist"/>
    <n v="4"/>
    <s v="Single"/>
    <x v="138"/>
    <n v="17241"/>
    <n v="3"/>
    <s v="Y"/>
    <x v="1"/>
    <n v="18"/>
    <n v="3"/>
    <n v="1"/>
    <x v="0"/>
    <n v="0"/>
    <n v="5"/>
    <n v="4"/>
    <n v="3"/>
    <n v="3"/>
    <n v="2"/>
    <x v="0"/>
    <n v="2"/>
  </r>
  <r>
    <n v="45"/>
    <x v="1"/>
    <x v="0"/>
    <n v="974"/>
    <x v="1"/>
    <n v="1"/>
    <n v="4"/>
    <x v="2"/>
    <n v="1"/>
    <n v="996"/>
    <n v="4"/>
    <x v="0"/>
    <n v="91"/>
    <n v="3"/>
    <x v="1"/>
    <s v="Laboratory Technician"/>
    <n v="4"/>
    <s v="Divorced"/>
    <x v="678"/>
    <n v="11005"/>
    <n v="3"/>
    <s v="Y"/>
    <x v="1"/>
    <n v="14"/>
    <n v="3"/>
    <n v="4"/>
    <x v="0"/>
    <n v="2"/>
    <n v="8"/>
    <n v="2"/>
    <n v="3"/>
    <n v="5"/>
    <n v="3"/>
    <x v="0"/>
    <n v="2"/>
  </r>
  <r>
    <n v="50"/>
    <x v="1"/>
    <x v="0"/>
    <n v="1126"/>
    <x v="1"/>
    <n v="1"/>
    <n v="2"/>
    <x v="2"/>
    <n v="1"/>
    <n v="997"/>
    <n v="4"/>
    <x v="1"/>
    <n v="66"/>
    <n v="3"/>
    <x v="3"/>
    <s v="Research Director"/>
    <n v="4"/>
    <s v="Divorced"/>
    <x v="679"/>
    <n v="6615"/>
    <n v="9"/>
    <s v="Y"/>
    <x v="1"/>
    <n v="22"/>
    <n v="4"/>
    <n v="3"/>
    <x v="0"/>
    <n v="1"/>
    <n v="32"/>
    <n v="1"/>
    <n v="2"/>
    <n v="5"/>
    <n v="4"/>
    <x v="1"/>
    <n v="3"/>
  </r>
  <r>
    <n v="33"/>
    <x v="1"/>
    <x v="1"/>
    <n v="827"/>
    <x v="1"/>
    <n v="1"/>
    <n v="4"/>
    <x v="1"/>
    <n v="1"/>
    <n v="998"/>
    <n v="3"/>
    <x v="0"/>
    <n v="84"/>
    <n v="4"/>
    <x v="0"/>
    <s v="Healthcare Representative"/>
    <n v="2"/>
    <s v="Married"/>
    <x v="680"/>
    <n v="20161"/>
    <n v="1"/>
    <s v="Y"/>
    <x v="0"/>
    <n v="13"/>
    <n v="3"/>
    <n v="1"/>
    <x v="0"/>
    <n v="1"/>
    <n v="6"/>
    <n v="2"/>
    <n v="3"/>
    <n v="6"/>
    <n v="5"/>
    <x v="1"/>
    <n v="2"/>
  </r>
  <r>
    <n v="41"/>
    <x v="1"/>
    <x v="1"/>
    <n v="840"/>
    <x v="1"/>
    <n v="9"/>
    <n v="3"/>
    <x v="2"/>
    <n v="1"/>
    <n v="999"/>
    <n v="1"/>
    <x v="1"/>
    <n v="64"/>
    <n v="3"/>
    <x v="4"/>
    <s v="Research Director"/>
    <n v="3"/>
    <s v="Divorced"/>
    <x v="681"/>
    <n v="3735"/>
    <n v="2"/>
    <s v="Y"/>
    <x v="1"/>
    <n v="17"/>
    <n v="3"/>
    <n v="2"/>
    <x v="0"/>
    <n v="1"/>
    <n v="21"/>
    <n v="2"/>
    <n v="4"/>
    <n v="18"/>
    <n v="16"/>
    <x v="0"/>
    <n v="11"/>
  </r>
  <r>
    <n v="27"/>
    <x v="1"/>
    <x v="0"/>
    <n v="1134"/>
    <x v="1"/>
    <n v="16"/>
    <n v="4"/>
    <x v="4"/>
    <n v="1"/>
    <n v="1001"/>
    <n v="3"/>
    <x v="0"/>
    <n v="37"/>
    <n v="3"/>
    <x v="1"/>
    <s v="Laboratory Technician"/>
    <n v="2"/>
    <s v="Married"/>
    <x v="682"/>
    <n v="12086"/>
    <n v="9"/>
    <s v="Y"/>
    <x v="1"/>
    <n v="14"/>
    <n v="3"/>
    <n v="2"/>
    <x v="0"/>
    <n v="1"/>
    <n v="4"/>
    <n v="2"/>
    <n v="3"/>
    <n v="2"/>
    <n v="2"/>
    <x v="3"/>
    <n v="2"/>
  </r>
  <r>
    <n v="45"/>
    <x v="1"/>
    <x v="2"/>
    <n v="248"/>
    <x v="1"/>
    <n v="23"/>
    <n v="2"/>
    <x v="0"/>
    <n v="1"/>
    <n v="1002"/>
    <n v="4"/>
    <x v="1"/>
    <n v="42"/>
    <n v="3"/>
    <x v="0"/>
    <s v="Laboratory Technician"/>
    <n v="1"/>
    <s v="Married"/>
    <x v="683"/>
    <n v="14039"/>
    <n v="1"/>
    <s v="Y"/>
    <x v="0"/>
    <n v="15"/>
    <n v="3"/>
    <n v="3"/>
    <x v="0"/>
    <n v="1"/>
    <n v="9"/>
    <n v="2"/>
    <n v="3"/>
    <n v="9"/>
    <n v="8"/>
    <x v="0"/>
    <n v="8"/>
  </r>
  <r>
    <n v="47"/>
    <x v="1"/>
    <x v="0"/>
    <n v="955"/>
    <x v="0"/>
    <n v="4"/>
    <n v="2"/>
    <x v="0"/>
    <n v="1"/>
    <n v="1003"/>
    <n v="4"/>
    <x v="0"/>
    <n v="83"/>
    <n v="3"/>
    <x v="0"/>
    <s v="Sales Executive"/>
    <n v="4"/>
    <s v="Single"/>
    <x v="684"/>
    <n v="8571"/>
    <n v="1"/>
    <s v="Y"/>
    <x v="0"/>
    <n v="17"/>
    <n v="3"/>
    <n v="3"/>
    <x v="0"/>
    <n v="0"/>
    <n v="9"/>
    <n v="0"/>
    <n v="3"/>
    <n v="9"/>
    <n v="0"/>
    <x v="0"/>
    <n v="7"/>
  </r>
  <r>
    <n v="30"/>
    <x v="0"/>
    <x v="0"/>
    <n v="138"/>
    <x v="1"/>
    <n v="22"/>
    <n v="3"/>
    <x v="0"/>
    <n v="1"/>
    <n v="1004"/>
    <n v="1"/>
    <x v="0"/>
    <n v="48"/>
    <n v="3"/>
    <x v="1"/>
    <s v="Research Scientist"/>
    <n v="3"/>
    <s v="Married"/>
    <x v="685"/>
    <n v="11539"/>
    <n v="4"/>
    <s v="Y"/>
    <x v="0"/>
    <n v="11"/>
    <n v="3"/>
    <n v="2"/>
    <x v="0"/>
    <n v="0"/>
    <n v="7"/>
    <n v="2"/>
    <n v="3"/>
    <n v="5"/>
    <n v="2"/>
    <x v="0"/>
    <n v="1"/>
  </r>
  <r>
    <n v="50"/>
    <x v="1"/>
    <x v="0"/>
    <n v="939"/>
    <x v="1"/>
    <n v="24"/>
    <n v="3"/>
    <x v="0"/>
    <n v="1"/>
    <n v="1005"/>
    <n v="4"/>
    <x v="1"/>
    <n v="95"/>
    <n v="3"/>
    <x v="3"/>
    <s v="Manufacturing Director"/>
    <n v="3"/>
    <s v="Married"/>
    <x v="686"/>
    <n v="4161"/>
    <n v="3"/>
    <s v="Y"/>
    <x v="0"/>
    <n v="18"/>
    <n v="3"/>
    <n v="4"/>
    <x v="0"/>
    <n v="1"/>
    <n v="22"/>
    <n v="2"/>
    <n v="3"/>
    <n v="12"/>
    <n v="11"/>
    <x v="1"/>
    <n v="5"/>
  </r>
  <r>
    <n v="38"/>
    <x v="1"/>
    <x v="1"/>
    <n v="1391"/>
    <x v="1"/>
    <n v="10"/>
    <n v="1"/>
    <x v="2"/>
    <n v="1"/>
    <n v="1006"/>
    <n v="3"/>
    <x v="1"/>
    <n v="66"/>
    <n v="3"/>
    <x v="1"/>
    <s v="Research Scientist"/>
    <n v="3"/>
    <s v="Married"/>
    <x v="687"/>
    <n v="12127"/>
    <n v="0"/>
    <s v="Y"/>
    <x v="1"/>
    <n v="17"/>
    <n v="3"/>
    <n v="2"/>
    <x v="0"/>
    <n v="1"/>
    <n v="3"/>
    <n v="0"/>
    <n v="2"/>
    <n v="2"/>
    <n v="1"/>
    <x v="0"/>
    <n v="2"/>
  </r>
  <r>
    <n v="46"/>
    <x v="1"/>
    <x v="0"/>
    <n v="566"/>
    <x v="1"/>
    <n v="7"/>
    <n v="2"/>
    <x v="2"/>
    <n v="1"/>
    <n v="1007"/>
    <n v="4"/>
    <x v="1"/>
    <n v="75"/>
    <n v="3"/>
    <x v="2"/>
    <s v="Manufacturing Director"/>
    <n v="3"/>
    <s v="Divorced"/>
    <x v="688"/>
    <n v="24208"/>
    <n v="6"/>
    <s v="Y"/>
    <x v="1"/>
    <n v="13"/>
    <n v="3"/>
    <n v="2"/>
    <x v="0"/>
    <n v="1"/>
    <n v="13"/>
    <n v="3"/>
    <n v="3"/>
    <n v="8"/>
    <n v="7"/>
    <x v="0"/>
    <n v="7"/>
  </r>
  <r>
    <n v="24"/>
    <x v="1"/>
    <x v="0"/>
    <n v="1206"/>
    <x v="1"/>
    <n v="17"/>
    <n v="1"/>
    <x v="2"/>
    <n v="1"/>
    <n v="1009"/>
    <n v="4"/>
    <x v="0"/>
    <n v="41"/>
    <n v="2"/>
    <x v="0"/>
    <s v="Manufacturing Director"/>
    <n v="3"/>
    <s v="Divorced"/>
    <x v="689"/>
    <n v="24117"/>
    <n v="1"/>
    <s v="Y"/>
    <x v="1"/>
    <n v="15"/>
    <n v="3"/>
    <n v="2"/>
    <x v="0"/>
    <n v="2"/>
    <n v="5"/>
    <n v="6"/>
    <n v="3"/>
    <n v="4"/>
    <n v="2"/>
    <x v="2"/>
    <n v="2"/>
  </r>
  <r>
    <n v="35"/>
    <x v="0"/>
    <x v="0"/>
    <n v="622"/>
    <x v="1"/>
    <n v="14"/>
    <n v="4"/>
    <x v="1"/>
    <n v="1"/>
    <n v="1010"/>
    <n v="3"/>
    <x v="1"/>
    <n v="39"/>
    <n v="2"/>
    <x v="1"/>
    <s v="Laboratory Technician"/>
    <n v="2"/>
    <s v="Divorced"/>
    <x v="690"/>
    <n v="10074"/>
    <n v="1"/>
    <s v="Y"/>
    <x v="0"/>
    <n v="24"/>
    <n v="4"/>
    <n v="4"/>
    <x v="0"/>
    <n v="1"/>
    <n v="5"/>
    <n v="2"/>
    <n v="1"/>
    <n v="4"/>
    <n v="2"/>
    <x v="0"/>
    <n v="2"/>
  </r>
  <r>
    <n v="31"/>
    <x v="1"/>
    <x v="1"/>
    <n v="853"/>
    <x v="1"/>
    <n v="1"/>
    <n v="1"/>
    <x v="0"/>
    <n v="1"/>
    <n v="1011"/>
    <n v="3"/>
    <x v="0"/>
    <n v="96"/>
    <n v="3"/>
    <x v="0"/>
    <s v="Manufacturing Director"/>
    <n v="1"/>
    <s v="Married"/>
    <x v="691"/>
    <n v="11275"/>
    <n v="1"/>
    <s v="Y"/>
    <x v="1"/>
    <n v="12"/>
    <n v="3"/>
    <n v="3"/>
    <x v="0"/>
    <n v="1"/>
    <n v="4"/>
    <n v="1"/>
    <n v="3"/>
    <n v="4"/>
    <n v="3"/>
    <x v="0"/>
    <n v="3"/>
  </r>
  <r>
    <n v="18"/>
    <x v="1"/>
    <x v="2"/>
    <n v="287"/>
    <x v="1"/>
    <n v="5"/>
    <n v="2"/>
    <x v="0"/>
    <n v="1"/>
    <n v="1012"/>
    <n v="2"/>
    <x v="1"/>
    <n v="73"/>
    <n v="3"/>
    <x v="1"/>
    <s v="Research Scientist"/>
    <n v="4"/>
    <s v="Single"/>
    <x v="692"/>
    <n v="13493"/>
    <n v="1"/>
    <s v="Y"/>
    <x v="1"/>
    <n v="15"/>
    <n v="3"/>
    <n v="4"/>
    <x v="0"/>
    <n v="0"/>
    <n v="0"/>
    <n v="2"/>
    <n v="3"/>
    <n v="0"/>
    <n v="0"/>
    <x v="0"/>
    <n v="0"/>
  </r>
  <r>
    <n v="54"/>
    <x v="1"/>
    <x v="0"/>
    <n v="1441"/>
    <x v="1"/>
    <n v="17"/>
    <n v="3"/>
    <x v="4"/>
    <n v="1"/>
    <n v="1013"/>
    <n v="3"/>
    <x v="0"/>
    <n v="56"/>
    <n v="3"/>
    <x v="2"/>
    <s v="Manufacturing Director"/>
    <n v="3"/>
    <s v="Married"/>
    <x v="693"/>
    <n v="13943"/>
    <n v="8"/>
    <s v="Y"/>
    <x v="1"/>
    <n v="11"/>
    <n v="3"/>
    <n v="3"/>
    <x v="0"/>
    <n v="1"/>
    <n v="22"/>
    <n v="2"/>
    <n v="3"/>
    <n v="10"/>
    <n v="7"/>
    <x v="0"/>
    <n v="8"/>
  </r>
  <r>
    <n v="35"/>
    <x v="1"/>
    <x v="0"/>
    <n v="583"/>
    <x v="1"/>
    <n v="25"/>
    <n v="4"/>
    <x v="2"/>
    <n v="1"/>
    <n v="1014"/>
    <n v="3"/>
    <x v="0"/>
    <n v="57"/>
    <n v="3"/>
    <x v="2"/>
    <s v="Healthcare Representative"/>
    <n v="3"/>
    <s v="Divorced"/>
    <x v="694"/>
    <n v="6975"/>
    <n v="1"/>
    <s v="Y"/>
    <x v="0"/>
    <n v="11"/>
    <n v="3"/>
    <n v="3"/>
    <x v="0"/>
    <n v="1"/>
    <n v="16"/>
    <n v="3"/>
    <n v="2"/>
    <n v="16"/>
    <n v="10"/>
    <x v="13"/>
    <n v="1"/>
  </r>
  <r>
    <n v="30"/>
    <x v="1"/>
    <x v="0"/>
    <n v="153"/>
    <x v="1"/>
    <n v="8"/>
    <n v="2"/>
    <x v="0"/>
    <n v="1"/>
    <n v="1015"/>
    <n v="2"/>
    <x v="0"/>
    <n v="73"/>
    <n v="4"/>
    <x v="2"/>
    <s v="Research Director"/>
    <n v="1"/>
    <s v="Married"/>
    <x v="695"/>
    <n v="17802"/>
    <n v="0"/>
    <s v="Y"/>
    <x v="0"/>
    <n v="12"/>
    <n v="3"/>
    <n v="3"/>
    <x v="0"/>
    <n v="3"/>
    <n v="9"/>
    <n v="4"/>
    <n v="2"/>
    <n v="8"/>
    <n v="7"/>
    <x v="1"/>
    <n v="7"/>
  </r>
  <r>
    <n v="20"/>
    <x v="0"/>
    <x v="0"/>
    <n v="1097"/>
    <x v="1"/>
    <n v="11"/>
    <n v="3"/>
    <x v="2"/>
    <n v="1"/>
    <n v="1016"/>
    <n v="4"/>
    <x v="0"/>
    <n v="98"/>
    <n v="2"/>
    <x v="1"/>
    <s v="Research Scientist"/>
    <n v="1"/>
    <s v="Single"/>
    <x v="696"/>
    <n v="18275"/>
    <n v="1"/>
    <s v="Y"/>
    <x v="0"/>
    <n v="15"/>
    <n v="3"/>
    <n v="1"/>
    <x v="0"/>
    <n v="0"/>
    <n v="1"/>
    <n v="2"/>
    <n v="3"/>
    <n v="1"/>
    <n v="0"/>
    <x v="0"/>
    <n v="0"/>
  </r>
  <r>
    <n v="30"/>
    <x v="0"/>
    <x v="1"/>
    <n v="109"/>
    <x v="1"/>
    <n v="5"/>
    <n v="3"/>
    <x v="2"/>
    <n v="1"/>
    <n v="1017"/>
    <n v="2"/>
    <x v="0"/>
    <n v="60"/>
    <n v="3"/>
    <x v="1"/>
    <s v="Laboratory Technician"/>
    <n v="2"/>
    <s v="Single"/>
    <x v="697"/>
    <n v="25725"/>
    <n v="0"/>
    <s v="Y"/>
    <x v="1"/>
    <n v="17"/>
    <n v="3"/>
    <n v="1"/>
    <x v="0"/>
    <n v="0"/>
    <n v="4"/>
    <n v="3"/>
    <n v="3"/>
    <n v="3"/>
    <n v="2"/>
    <x v="1"/>
    <n v="2"/>
  </r>
  <r>
    <n v="26"/>
    <x v="1"/>
    <x v="0"/>
    <n v="1066"/>
    <x v="1"/>
    <n v="2"/>
    <n v="2"/>
    <x v="2"/>
    <n v="1"/>
    <n v="1018"/>
    <n v="4"/>
    <x v="1"/>
    <n v="32"/>
    <n v="4"/>
    <x v="0"/>
    <s v="Manufacturing Director"/>
    <n v="4"/>
    <s v="Married"/>
    <x v="698"/>
    <n v="3334"/>
    <n v="1"/>
    <s v="Y"/>
    <x v="1"/>
    <n v="12"/>
    <n v="3"/>
    <n v="2"/>
    <x v="0"/>
    <n v="0"/>
    <n v="8"/>
    <n v="2"/>
    <n v="3"/>
    <n v="8"/>
    <n v="7"/>
    <x v="1"/>
    <n v="3"/>
  </r>
  <r>
    <n v="22"/>
    <x v="1"/>
    <x v="0"/>
    <n v="217"/>
    <x v="1"/>
    <n v="8"/>
    <n v="1"/>
    <x v="0"/>
    <n v="1"/>
    <n v="1019"/>
    <n v="2"/>
    <x v="1"/>
    <n v="94"/>
    <n v="1"/>
    <x v="1"/>
    <s v="Laboratory Technician"/>
    <n v="1"/>
    <s v="Married"/>
    <x v="163"/>
    <n v="6881"/>
    <n v="1"/>
    <s v="Y"/>
    <x v="1"/>
    <n v="15"/>
    <n v="3"/>
    <n v="1"/>
    <x v="0"/>
    <n v="1"/>
    <n v="4"/>
    <n v="3"/>
    <n v="2"/>
    <n v="4"/>
    <n v="3"/>
    <x v="1"/>
    <n v="1"/>
  </r>
  <r>
    <n v="48"/>
    <x v="1"/>
    <x v="0"/>
    <n v="277"/>
    <x v="1"/>
    <n v="6"/>
    <n v="3"/>
    <x v="0"/>
    <n v="1"/>
    <n v="1022"/>
    <n v="1"/>
    <x v="1"/>
    <n v="97"/>
    <n v="2"/>
    <x v="0"/>
    <s v="Healthcare Representative"/>
    <n v="3"/>
    <s v="Single"/>
    <x v="699"/>
    <n v="13119"/>
    <n v="2"/>
    <s v="Y"/>
    <x v="1"/>
    <n v="13"/>
    <n v="3"/>
    <n v="4"/>
    <x v="0"/>
    <n v="0"/>
    <n v="19"/>
    <n v="0"/>
    <n v="3"/>
    <n v="2"/>
    <n v="2"/>
    <x v="3"/>
    <n v="2"/>
  </r>
  <r>
    <n v="48"/>
    <x v="1"/>
    <x v="0"/>
    <n v="1355"/>
    <x v="1"/>
    <n v="4"/>
    <n v="4"/>
    <x v="0"/>
    <n v="1"/>
    <n v="1024"/>
    <n v="3"/>
    <x v="1"/>
    <n v="78"/>
    <n v="2"/>
    <x v="2"/>
    <s v="Healthcare Representative"/>
    <n v="3"/>
    <s v="Single"/>
    <x v="700"/>
    <n v="22245"/>
    <n v="7"/>
    <s v="Y"/>
    <x v="1"/>
    <n v="14"/>
    <n v="3"/>
    <n v="2"/>
    <x v="0"/>
    <n v="0"/>
    <n v="27"/>
    <n v="3"/>
    <n v="3"/>
    <n v="15"/>
    <n v="11"/>
    <x v="5"/>
    <n v="8"/>
  </r>
  <r>
    <n v="41"/>
    <x v="1"/>
    <x v="0"/>
    <n v="549"/>
    <x v="1"/>
    <n v="7"/>
    <n v="2"/>
    <x v="2"/>
    <n v="1"/>
    <n v="1025"/>
    <n v="4"/>
    <x v="0"/>
    <n v="42"/>
    <n v="3"/>
    <x v="0"/>
    <s v="Manufacturing Director"/>
    <n v="3"/>
    <s v="Single"/>
    <x v="701"/>
    <n v="23371"/>
    <n v="6"/>
    <s v="Y"/>
    <x v="1"/>
    <n v="14"/>
    <n v="3"/>
    <n v="2"/>
    <x v="0"/>
    <n v="0"/>
    <n v="8"/>
    <n v="6"/>
    <n v="3"/>
    <n v="2"/>
    <n v="2"/>
    <x v="3"/>
    <n v="1"/>
  </r>
  <r>
    <n v="39"/>
    <x v="1"/>
    <x v="0"/>
    <n v="466"/>
    <x v="1"/>
    <n v="1"/>
    <n v="1"/>
    <x v="0"/>
    <n v="1"/>
    <n v="1026"/>
    <n v="4"/>
    <x v="0"/>
    <n v="65"/>
    <n v="2"/>
    <x v="3"/>
    <s v="Manufacturing Director"/>
    <n v="4"/>
    <s v="Married"/>
    <x v="702"/>
    <n v="7060"/>
    <n v="1"/>
    <s v="Y"/>
    <x v="1"/>
    <n v="16"/>
    <n v="3"/>
    <n v="3"/>
    <x v="0"/>
    <n v="1"/>
    <n v="21"/>
    <n v="3"/>
    <n v="3"/>
    <n v="21"/>
    <n v="6"/>
    <x v="14"/>
    <n v="8"/>
  </r>
  <r>
    <n v="27"/>
    <x v="1"/>
    <x v="0"/>
    <n v="1055"/>
    <x v="1"/>
    <n v="2"/>
    <n v="4"/>
    <x v="0"/>
    <n v="1"/>
    <n v="1027"/>
    <n v="1"/>
    <x v="0"/>
    <n v="47"/>
    <n v="3"/>
    <x v="0"/>
    <s v="Manufacturing Director"/>
    <n v="4"/>
    <s v="Married"/>
    <x v="703"/>
    <n v="4658"/>
    <n v="0"/>
    <s v="Y"/>
    <x v="1"/>
    <n v="18"/>
    <n v="3"/>
    <n v="2"/>
    <x v="0"/>
    <n v="1"/>
    <n v="4"/>
    <n v="2"/>
    <n v="3"/>
    <n v="3"/>
    <n v="2"/>
    <x v="3"/>
    <n v="2"/>
  </r>
  <r>
    <n v="35"/>
    <x v="1"/>
    <x v="0"/>
    <n v="802"/>
    <x v="1"/>
    <n v="10"/>
    <n v="3"/>
    <x v="1"/>
    <n v="1"/>
    <n v="1028"/>
    <n v="2"/>
    <x v="1"/>
    <n v="45"/>
    <n v="3"/>
    <x v="1"/>
    <s v="Laboratory Technician"/>
    <n v="4"/>
    <s v="Divorced"/>
    <x v="704"/>
    <n v="9541"/>
    <n v="1"/>
    <s v="Y"/>
    <x v="1"/>
    <n v="20"/>
    <n v="4"/>
    <n v="1"/>
    <x v="0"/>
    <n v="1"/>
    <n v="3"/>
    <n v="4"/>
    <n v="2"/>
    <n v="3"/>
    <n v="2"/>
    <x v="1"/>
    <n v="2"/>
  </r>
  <r>
    <n v="42"/>
    <x v="1"/>
    <x v="0"/>
    <n v="265"/>
    <x v="0"/>
    <n v="5"/>
    <n v="2"/>
    <x v="3"/>
    <n v="1"/>
    <n v="1029"/>
    <n v="4"/>
    <x v="1"/>
    <n v="90"/>
    <n v="3"/>
    <x v="4"/>
    <s v="Manager"/>
    <n v="3"/>
    <s v="Married"/>
    <x v="705"/>
    <n v="7770"/>
    <n v="6"/>
    <s v="Y"/>
    <x v="1"/>
    <n v="13"/>
    <n v="3"/>
    <n v="2"/>
    <x v="0"/>
    <n v="0"/>
    <n v="21"/>
    <n v="3"/>
    <n v="4"/>
    <n v="1"/>
    <n v="0"/>
    <x v="0"/>
    <n v="0"/>
  </r>
  <r>
    <n v="50"/>
    <x v="1"/>
    <x v="0"/>
    <n v="804"/>
    <x v="1"/>
    <n v="9"/>
    <n v="3"/>
    <x v="0"/>
    <n v="1"/>
    <n v="1030"/>
    <n v="1"/>
    <x v="1"/>
    <n v="64"/>
    <n v="3"/>
    <x v="1"/>
    <s v="Laboratory Technician"/>
    <n v="4"/>
    <s v="Married"/>
    <x v="631"/>
    <n v="20165"/>
    <n v="4"/>
    <s v="Y"/>
    <x v="1"/>
    <n v="18"/>
    <n v="3"/>
    <n v="2"/>
    <x v="0"/>
    <n v="0"/>
    <n v="8"/>
    <n v="5"/>
    <n v="3"/>
    <n v="1"/>
    <n v="0"/>
    <x v="0"/>
    <n v="0"/>
  </r>
  <r>
    <n v="59"/>
    <x v="1"/>
    <x v="0"/>
    <n v="715"/>
    <x v="1"/>
    <n v="2"/>
    <n v="3"/>
    <x v="0"/>
    <n v="1"/>
    <n v="1032"/>
    <n v="3"/>
    <x v="0"/>
    <n v="69"/>
    <n v="2"/>
    <x v="3"/>
    <s v="Manufacturing Director"/>
    <n v="4"/>
    <s v="Single"/>
    <x v="706"/>
    <n v="21829"/>
    <n v="3"/>
    <s v="Y"/>
    <x v="0"/>
    <n v="13"/>
    <n v="3"/>
    <n v="1"/>
    <x v="0"/>
    <n v="0"/>
    <n v="30"/>
    <n v="4"/>
    <n v="3"/>
    <n v="5"/>
    <n v="3"/>
    <x v="5"/>
    <n v="3"/>
  </r>
  <r>
    <n v="37"/>
    <x v="0"/>
    <x v="0"/>
    <n v="1141"/>
    <x v="1"/>
    <n v="11"/>
    <n v="2"/>
    <x v="2"/>
    <n v="1"/>
    <n v="1033"/>
    <n v="1"/>
    <x v="0"/>
    <n v="61"/>
    <n v="1"/>
    <x v="0"/>
    <s v="Healthcare Representative"/>
    <n v="2"/>
    <s v="Married"/>
    <x v="707"/>
    <n v="14382"/>
    <n v="5"/>
    <s v="Y"/>
    <x v="1"/>
    <n v="15"/>
    <n v="3"/>
    <n v="1"/>
    <x v="0"/>
    <n v="0"/>
    <n v="15"/>
    <n v="2"/>
    <n v="1"/>
    <n v="1"/>
    <n v="0"/>
    <x v="0"/>
    <n v="0"/>
  </r>
  <r>
    <n v="55"/>
    <x v="1"/>
    <x v="1"/>
    <n v="135"/>
    <x v="1"/>
    <n v="18"/>
    <n v="4"/>
    <x v="2"/>
    <n v="1"/>
    <n v="1034"/>
    <n v="3"/>
    <x v="1"/>
    <n v="62"/>
    <n v="3"/>
    <x v="0"/>
    <s v="Healthcare Representative"/>
    <n v="2"/>
    <s v="Married"/>
    <x v="708"/>
    <n v="12992"/>
    <n v="3"/>
    <s v="Y"/>
    <x v="0"/>
    <n v="14"/>
    <n v="3"/>
    <n v="4"/>
    <x v="0"/>
    <n v="2"/>
    <n v="17"/>
    <n v="3"/>
    <n v="3"/>
    <n v="8"/>
    <n v="7"/>
    <x v="7"/>
    <n v="7"/>
  </r>
  <r>
    <n v="41"/>
    <x v="1"/>
    <x v="2"/>
    <n v="247"/>
    <x v="1"/>
    <n v="7"/>
    <n v="1"/>
    <x v="0"/>
    <n v="1"/>
    <n v="1035"/>
    <n v="2"/>
    <x v="0"/>
    <n v="55"/>
    <n v="1"/>
    <x v="4"/>
    <s v="Research Director"/>
    <n v="3"/>
    <s v="Divorced"/>
    <x v="709"/>
    <n v="20284"/>
    <n v="1"/>
    <s v="Y"/>
    <x v="1"/>
    <n v="22"/>
    <n v="4"/>
    <n v="2"/>
    <x v="0"/>
    <n v="2"/>
    <n v="21"/>
    <n v="3"/>
    <n v="3"/>
    <n v="21"/>
    <n v="16"/>
    <x v="8"/>
    <n v="10"/>
  </r>
  <r>
    <n v="38"/>
    <x v="1"/>
    <x v="0"/>
    <n v="1035"/>
    <x v="0"/>
    <n v="3"/>
    <n v="4"/>
    <x v="0"/>
    <n v="1"/>
    <n v="1036"/>
    <n v="2"/>
    <x v="1"/>
    <n v="42"/>
    <n v="3"/>
    <x v="0"/>
    <s v="Sales Executive"/>
    <n v="4"/>
    <s v="Single"/>
    <x v="710"/>
    <n v="4981"/>
    <n v="8"/>
    <s v="Y"/>
    <x v="0"/>
    <n v="12"/>
    <n v="3"/>
    <n v="3"/>
    <x v="0"/>
    <n v="0"/>
    <n v="19"/>
    <n v="1"/>
    <n v="3"/>
    <n v="1"/>
    <n v="0"/>
    <x v="0"/>
    <n v="0"/>
  </r>
  <r>
    <n v="26"/>
    <x v="0"/>
    <x v="2"/>
    <n v="265"/>
    <x v="0"/>
    <n v="29"/>
    <n v="2"/>
    <x v="2"/>
    <n v="1"/>
    <n v="1037"/>
    <n v="2"/>
    <x v="1"/>
    <n v="79"/>
    <n v="1"/>
    <x v="0"/>
    <s v="Sales Executive"/>
    <n v="1"/>
    <s v="Single"/>
    <x v="711"/>
    <n v="21813"/>
    <n v="8"/>
    <s v="Y"/>
    <x v="1"/>
    <n v="18"/>
    <n v="3"/>
    <n v="4"/>
    <x v="0"/>
    <n v="0"/>
    <n v="7"/>
    <n v="6"/>
    <n v="3"/>
    <n v="2"/>
    <n v="2"/>
    <x v="3"/>
    <n v="2"/>
  </r>
  <r>
    <n v="52"/>
    <x v="0"/>
    <x v="0"/>
    <n v="266"/>
    <x v="0"/>
    <n v="2"/>
    <n v="1"/>
    <x v="3"/>
    <n v="1"/>
    <n v="1038"/>
    <n v="1"/>
    <x v="0"/>
    <n v="57"/>
    <n v="1"/>
    <x v="4"/>
    <s v="Manager"/>
    <n v="4"/>
    <s v="Married"/>
    <x v="712"/>
    <n v="25846"/>
    <n v="1"/>
    <s v="Y"/>
    <x v="1"/>
    <n v="15"/>
    <n v="3"/>
    <n v="4"/>
    <x v="0"/>
    <n v="1"/>
    <n v="33"/>
    <n v="3"/>
    <n v="3"/>
    <n v="32"/>
    <n v="14"/>
    <x v="7"/>
    <n v="9"/>
  </r>
  <r>
    <n v="44"/>
    <x v="1"/>
    <x v="0"/>
    <n v="1448"/>
    <x v="0"/>
    <n v="28"/>
    <n v="3"/>
    <x v="2"/>
    <n v="1"/>
    <n v="1039"/>
    <n v="4"/>
    <x v="0"/>
    <n v="53"/>
    <n v="4"/>
    <x v="3"/>
    <s v="Sales Executive"/>
    <n v="4"/>
    <s v="Married"/>
    <x v="713"/>
    <n v="11737"/>
    <n v="3"/>
    <s v="Y"/>
    <x v="0"/>
    <n v="18"/>
    <n v="3"/>
    <n v="3"/>
    <x v="0"/>
    <n v="1"/>
    <n v="23"/>
    <n v="2"/>
    <n v="3"/>
    <n v="12"/>
    <n v="11"/>
    <x v="14"/>
    <n v="11"/>
  </r>
  <r>
    <n v="50"/>
    <x v="1"/>
    <x v="2"/>
    <n v="145"/>
    <x v="0"/>
    <n v="1"/>
    <n v="3"/>
    <x v="0"/>
    <n v="1"/>
    <n v="1040"/>
    <n v="4"/>
    <x v="0"/>
    <n v="95"/>
    <n v="3"/>
    <x v="0"/>
    <s v="Sales Executive"/>
    <n v="3"/>
    <s v="Married"/>
    <x v="136"/>
    <n v="24920"/>
    <n v="0"/>
    <s v="Y"/>
    <x v="1"/>
    <n v="12"/>
    <n v="3"/>
    <n v="1"/>
    <x v="0"/>
    <n v="1"/>
    <n v="19"/>
    <n v="3"/>
    <n v="3"/>
    <n v="18"/>
    <n v="7"/>
    <x v="0"/>
    <n v="13"/>
  </r>
  <r>
    <n v="36"/>
    <x v="0"/>
    <x v="0"/>
    <n v="885"/>
    <x v="1"/>
    <n v="16"/>
    <n v="4"/>
    <x v="0"/>
    <n v="1"/>
    <n v="1042"/>
    <n v="3"/>
    <x v="0"/>
    <n v="43"/>
    <n v="4"/>
    <x v="1"/>
    <s v="Laboratory Technician"/>
    <n v="1"/>
    <s v="Single"/>
    <x v="714"/>
    <n v="8269"/>
    <n v="1"/>
    <s v="Y"/>
    <x v="1"/>
    <n v="16"/>
    <n v="3"/>
    <n v="3"/>
    <x v="0"/>
    <n v="0"/>
    <n v="18"/>
    <n v="1"/>
    <n v="3"/>
    <n v="17"/>
    <n v="13"/>
    <x v="9"/>
    <n v="14"/>
  </r>
  <r>
    <n v="39"/>
    <x v="1"/>
    <x v="1"/>
    <n v="945"/>
    <x v="1"/>
    <n v="22"/>
    <n v="3"/>
    <x v="2"/>
    <n v="1"/>
    <n v="1043"/>
    <n v="4"/>
    <x v="0"/>
    <n v="82"/>
    <n v="3"/>
    <x v="2"/>
    <s v="Manufacturing Director"/>
    <n v="1"/>
    <s v="Single"/>
    <x v="715"/>
    <n v="5083"/>
    <n v="1"/>
    <s v="Y"/>
    <x v="0"/>
    <n v="13"/>
    <n v="3"/>
    <n v="3"/>
    <x v="0"/>
    <n v="0"/>
    <n v="21"/>
    <n v="2"/>
    <n v="3"/>
    <n v="21"/>
    <n v="6"/>
    <x v="3"/>
    <n v="8"/>
  </r>
  <r>
    <n v="33"/>
    <x v="1"/>
    <x v="2"/>
    <n v="1038"/>
    <x v="0"/>
    <n v="8"/>
    <n v="1"/>
    <x v="0"/>
    <n v="1"/>
    <n v="1044"/>
    <n v="2"/>
    <x v="0"/>
    <n v="88"/>
    <n v="2"/>
    <x v="1"/>
    <s v="Sales Representative"/>
    <n v="4"/>
    <s v="Single"/>
    <x v="531"/>
    <n v="21437"/>
    <n v="0"/>
    <s v="Y"/>
    <x v="1"/>
    <n v="19"/>
    <n v="3"/>
    <n v="4"/>
    <x v="0"/>
    <n v="0"/>
    <n v="3"/>
    <n v="2"/>
    <n v="2"/>
    <n v="2"/>
    <n v="2"/>
    <x v="3"/>
    <n v="2"/>
  </r>
  <r>
    <n v="45"/>
    <x v="1"/>
    <x v="0"/>
    <n v="1234"/>
    <x v="0"/>
    <n v="11"/>
    <n v="2"/>
    <x v="0"/>
    <n v="1"/>
    <n v="1045"/>
    <n v="4"/>
    <x v="0"/>
    <n v="90"/>
    <n v="3"/>
    <x v="3"/>
    <s v="Manager"/>
    <n v="4"/>
    <s v="Married"/>
    <x v="716"/>
    <n v="5404"/>
    <n v="3"/>
    <s v="Y"/>
    <x v="1"/>
    <n v="13"/>
    <n v="3"/>
    <n v="2"/>
    <x v="0"/>
    <n v="1"/>
    <n v="26"/>
    <n v="4"/>
    <n v="4"/>
    <n v="9"/>
    <n v="3"/>
    <x v="1"/>
    <n v="1"/>
  </r>
  <r>
    <n v="32"/>
    <x v="1"/>
    <x v="2"/>
    <n v="1109"/>
    <x v="1"/>
    <n v="29"/>
    <n v="4"/>
    <x v="2"/>
    <n v="1"/>
    <n v="1046"/>
    <n v="4"/>
    <x v="0"/>
    <n v="69"/>
    <n v="3"/>
    <x v="1"/>
    <s v="Laboratory Technician"/>
    <n v="3"/>
    <s v="Single"/>
    <x v="717"/>
    <n v="11135"/>
    <n v="9"/>
    <s v="Y"/>
    <x v="1"/>
    <n v="12"/>
    <n v="3"/>
    <n v="2"/>
    <x v="0"/>
    <n v="0"/>
    <n v="10"/>
    <n v="2"/>
    <n v="3"/>
    <n v="8"/>
    <n v="7"/>
    <x v="4"/>
    <n v="7"/>
  </r>
  <r>
    <n v="34"/>
    <x v="1"/>
    <x v="0"/>
    <n v="216"/>
    <x v="0"/>
    <n v="1"/>
    <n v="4"/>
    <x v="3"/>
    <n v="1"/>
    <n v="1047"/>
    <n v="2"/>
    <x v="1"/>
    <n v="75"/>
    <n v="4"/>
    <x v="0"/>
    <s v="Sales Executive"/>
    <n v="4"/>
    <s v="Divorced"/>
    <x v="718"/>
    <n v="12278"/>
    <n v="0"/>
    <s v="Y"/>
    <x v="1"/>
    <n v="11"/>
    <n v="3"/>
    <n v="4"/>
    <x v="0"/>
    <n v="1"/>
    <n v="16"/>
    <n v="2"/>
    <n v="2"/>
    <n v="15"/>
    <n v="1"/>
    <x v="0"/>
    <n v="9"/>
  </r>
  <r>
    <n v="59"/>
    <x v="1"/>
    <x v="0"/>
    <n v="1089"/>
    <x v="0"/>
    <n v="1"/>
    <n v="2"/>
    <x v="4"/>
    <n v="1"/>
    <n v="1048"/>
    <n v="2"/>
    <x v="1"/>
    <n v="66"/>
    <n v="3"/>
    <x v="2"/>
    <s v="Manager"/>
    <n v="4"/>
    <s v="Married"/>
    <x v="719"/>
    <n v="11038"/>
    <n v="3"/>
    <s v="Y"/>
    <x v="0"/>
    <n v="14"/>
    <n v="3"/>
    <n v="3"/>
    <x v="0"/>
    <n v="1"/>
    <n v="14"/>
    <n v="1"/>
    <n v="1"/>
    <n v="6"/>
    <n v="4"/>
    <x v="0"/>
    <n v="4"/>
  </r>
  <r>
    <n v="45"/>
    <x v="1"/>
    <x v="0"/>
    <n v="788"/>
    <x v="2"/>
    <n v="24"/>
    <n v="4"/>
    <x v="2"/>
    <n v="1"/>
    <n v="1049"/>
    <n v="2"/>
    <x v="1"/>
    <n v="36"/>
    <n v="3"/>
    <x v="1"/>
    <s v="Human Resources"/>
    <n v="2"/>
    <s v="Single"/>
    <x v="221"/>
    <n v="8318"/>
    <n v="1"/>
    <s v="Y"/>
    <x v="1"/>
    <n v="16"/>
    <n v="3"/>
    <n v="1"/>
    <x v="0"/>
    <n v="0"/>
    <n v="6"/>
    <n v="3"/>
    <n v="3"/>
    <n v="6"/>
    <n v="3"/>
    <x v="0"/>
    <n v="4"/>
  </r>
  <r>
    <n v="53"/>
    <x v="1"/>
    <x v="1"/>
    <n v="124"/>
    <x v="0"/>
    <n v="2"/>
    <n v="3"/>
    <x v="3"/>
    <n v="1"/>
    <n v="1050"/>
    <n v="3"/>
    <x v="0"/>
    <n v="38"/>
    <n v="2"/>
    <x v="2"/>
    <s v="Sales Executive"/>
    <n v="2"/>
    <s v="Married"/>
    <x v="720"/>
    <n v="23537"/>
    <n v="2"/>
    <s v="Y"/>
    <x v="1"/>
    <n v="12"/>
    <n v="3"/>
    <n v="1"/>
    <x v="0"/>
    <n v="1"/>
    <n v="30"/>
    <n v="2"/>
    <n v="3"/>
    <n v="15"/>
    <n v="7"/>
    <x v="7"/>
    <n v="12"/>
  </r>
  <r>
    <n v="36"/>
    <x v="0"/>
    <x v="0"/>
    <n v="660"/>
    <x v="1"/>
    <n v="15"/>
    <n v="3"/>
    <x v="1"/>
    <n v="1"/>
    <n v="1052"/>
    <n v="1"/>
    <x v="1"/>
    <n v="81"/>
    <n v="3"/>
    <x v="0"/>
    <s v="Laboratory Technician"/>
    <n v="3"/>
    <s v="Divorced"/>
    <x v="721"/>
    <n v="7858"/>
    <n v="7"/>
    <s v="Y"/>
    <x v="1"/>
    <n v="14"/>
    <n v="3"/>
    <n v="2"/>
    <x v="0"/>
    <n v="1"/>
    <n v="9"/>
    <n v="3"/>
    <n v="2"/>
    <n v="1"/>
    <n v="0"/>
    <x v="0"/>
    <n v="0"/>
  </r>
  <r>
    <n v="26"/>
    <x v="0"/>
    <x v="1"/>
    <n v="342"/>
    <x v="1"/>
    <n v="2"/>
    <n v="3"/>
    <x v="0"/>
    <n v="1"/>
    <n v="1053"/>
    <n v="1"/>
    <x v="1"/>
    <n v="57"/>
    <n v="3"/>
    <x v="1"/>
    <s v="Research Scientist"/>
    <n v="1"/>
    <s v="Married"/>
    <x v="96"/>
    <n v="15346"/>
    <n v="6"/>
    <s v="Y"/>
    <x v="0"/>
    <n v="14"/>
    <n v="3"/>
    <n v="2"/>
    <x v="0"/>
    <n v="1"/>
    <n v="6"/>
    <n v="2"/>
    <n v="3"/>
    <n v="3"/>
    <n v="2"/>
    <x v="1"/>
    <n v="2"/>
  </r>
  <r>
    <n v="34"/>
    <x v="1"/>
    <x v="0"/>
    <n v="1333"/>
    <x v="0"/>
    <n v="10"/>
    <n v="4"/>
    <x v="0"/>
    <n v="1"/>
    <n v="1055"/>
    <n v="3"/>
    <x v="0"/>
    <n v="87"/>
    <n v="3"/>
    <x v="1"/>
    <s v="Sales Representative"/>
    <n v="3"/>
    <s v="Married"/>
    <x v="722"/>
    <n v="18410"/>
    <n v="1"/>
    <s v="Y"/>
    <x v="0"/>
    <n v="19"/>
    <n v="3"/>
    <n v="4"/>
    <x v="0"/>
    <n v="1"/>
    <n v="1"/>
    <n v="2"/>
    <n v="3"/>
    <n v="1"/>
    <n v="1"/>
    <x v="0"/>
    <n v="0"/>
  </r>
  <r>
    <n v="28"/>
    <x v="1"/>
    <x v="0"/>
    <n v="1144"/>
    <x v="0"/>
    <n v="10"/>
    <n v="1"/>
    <x v="2"/>
    <n v="1"/>
    <n v="1056"/>
    <n v="4"/>
    <x v="1"/>
    <n v="74"/>
    <n v="3"/>
    <x v="1"/>
    <s v="Sales Representative"/>
    <n v="2"/>
    <s v="Married"/>
    <x v="723"/>
    <n v="23384"/>
    <n v="1"/>
    <s v="Y"/>
    <x v="1"/>
    <n v="22"/>
    <n v="4"/>
    <n v="2"/>
    <x v="0"/>
    <n v="0"/>
    <n v="1"/>
    <n v="5"/>
    <n v="3"/>
    <n v="1"/>
    <n v="0"/>
    <x v="0"/>
    <n v="0"/>
  </r>
  <r>
    <n v="38"/>
    <x v="1"/>
    <x v="1"/>
    <n v="1186"/>
    <x v="1"/>
    <n v="3"/>
    <n v="4"/>
    <x v="1"/>
    <n v="1"/>
    <n v="1060"/>
    <n v="3"/>
    <x v="1"/>
    <n v="44"/>
    <n v="3"/>
    <x v="1"/>
    <s v="Research Scientist"/>
    <n v="3"/>
    <s v="Married"/>
    <x v="724"/>
    <n v="2997"/>
    <n v="3"/>
    <s v="Y"/>
    <x v="1"/>
    <n v="16"/>
    <n v="3"/>
    <n v="1"/>
    <x v="0"/>
    <n v="1"/>
    <n v="8"/>
    <n v="2"/>
    <n v="3"/>
    <n v="2"/>
    <n v="2"/>
    <x v="3"/>
    <n v="2"/>
  </r>
  <r>
    <n v="50"/>
    <x v="1"/>
    <x v="0"/>
    <n v="1464"/>
    <x v="1"/>
    <n v="2"/>
    <n v="4"/>
    <x v="2"/>
    <n v="1"/>
    <n v="1061"/>
    <n v="2"/>
    <x v="1"/>
    <n v="62"/>
    <n v="3"/>
    <x v="4"/>
    <s v="Research Director"/>
    <n v="3"/>
    <s v="Married"/>
    <x v="725"/>
    <n v="12853"/>
    <n v="2"/>
    <s v="Y"/>
    <x v="0"/>
    <n v="11"/>
    <n v="3"/>
    <n v="4"/>
    <x v="0"/>
    <n v="1"/>
    <n v="29"/>
    <n v="2"/>
    <n v="2"/>
    <n v="8"/>
    <n v="1"/>
    <x v="4"/>
    <n v="7"/>
  </r>
  <r>
    <n v="37"/>
    <x v="1"/>
    <x v="0"/>
    <n v="124"/>
    <x v="1"/>
    <n v="3"/>
    <n v="3"/>
    <x v="1"/>
    <n v="1"/>
    <n v="1062"/>
    <n v="4"/>
    <x v="0"/>
    <n v="35"/>
    <n v="3"/>
    <x v="0"/>
    <s v="Healthcare Representative"/>
    <n v="2"/>
    <s v="Single"/>
    <x v="726"/>
    <n v="13848"/>
    <n v="3"/>
    <s v="Y"/>
    <x v="1"/>
    <n v="15"/>
    <n v="3"/>
    <n v="1"/>
    <x v="0"/>
    <n v="0"/>
    <n v="8"/>
    <n v="3"/>
    <n v="2"/>
    <n v="4"/>
    <n v="3"/>
    <x v="0"/>
    <n v="1"/>
  </r>
  <r>
    <n v="40"/>
    <x v="1"/>
    <x v="0"/>
    <n v="300"/>
    <x v="0"/>
    <n v="26"/>
    <n v="3"/>
    <x v="3"/>
    <n v="1"/>
    <n v="1066"/>
    <n v="3"/>
    <x v="1"/>
    <n v="74"/>
    <n v="3"/>
    <x v="0"/>
    <s v="Sales Executive"/>
    <n v="1"/>
    <s v="Married"/>
    <x v="727"/>
    <n v="22217"/>
    <n v="1"/>
    <s v="Y"/>
    <x v="1"/>
    <n v="14"/>
    <n v="3"/>
    <n v="2"/>
    <x v="0"/>
    <n v="1"/>
    <n v="8"/>
    <n v="3"/>
    <n v="2"/>
    <n v="7"/>
    <n v="7"/>
    <x v="4"/>
    <n v="5"/>
  </r>
  <r>
    <n v="26"/>
    <x v="1"/>
    <x v="1"/>
    <n v="921"/>
    <x v="1"/>
    <n v="1"/>
    <n v="1"/>
    <x v="2"/>
    <n v="1"/>
    <n v="1068"/>
    <n v="1"/>
    <x v="0"/>
    <n v="66"/>
    <n v="2"/>
    <x v="1"/>
    <s v="Research Scientist"/>
    <n v="3"/>
    <s v="Divorced"/>
    <x v="728"/>
    <n v="25265"/>
    <n v="1"/>
    <s v="Y"/>
    <x v="1"/>
    <n v="13"/>
    <n v="3"/>
    <n v="3"/>
    <x v="0"/>
    <n v="2"/>
    <n v="5"/>
    <n v="5"/>
    <n v="3"/>
    <n v="5"/>
    <n v="3"/>
    <x v="1"/>
    <n v="3"/>
  </r>
  <r>
    <n v="46"/>
    <x v="1"/>
    <x v="0"/>
    <n v="430"/>
    <x v="1"/>
    <n v="1"/>
    <n v="4"/>
    <x v="2"/>
    <n v="1"/>
    <n v="1069"/>
    <n v="4"/>
    <x v="1"/>
    <n v="40"/>
    <n v="3"/>
    <x v="4"/>
    <s v="Research Director"/>
    <n v="4"/>
    <s v="Divorced"/>
    <x v="729"/>
    <n v="21445"/>
    <n v="9"/>
    <s v="Y"/>
    <x v="1"/>
    <n v="17"/>
    <n v="3"/>
    <n v="4"/>
    <x v="0"/>
    <n v="2"/>
    <n v="23"/>
    <n v="0"/>
    <n v="3"/>
    <n v="2"/>
    <n v="2"/>
    <x v="3"/>
    <n v="2"/>
  </r>
  <r>
    <n v="54"/>
    <x v="1"/>
    <x v="0"/>
    <n v="1082"/>
    <x v="0"/>
    <n v="2"/>
    <n v="4"/>
    <x v="0"/>
    <n v="1"/>
    <n v="1070"/>
    <n v="3"/>
    <x v="0"/>
    <n v="41"/>
    <n v="2"/>
    <x v="2"/>
    <s v="Sales Executive"/>
    <n v="3"/>
    <s v="Married"/>
    <x v="730"/>
    <n v="8392"/>
    <n v="6"/>
    <s v="Y"/>
    <x v="1"/>
    <n v="11"/>
    <n v="3"/>
    <n v="2"/>
    <x v="0"/>
    <n v="1"/>
    <n v="13"/>
    <n v="4"/>
    <n v="3"/>
    <n v="9"/>
    <n v="4"/>
    <x v="4"/>
    <n v="0"/>
  </r>
  <r>
    <n v="56"/>
    <x v="1"/>
    <x v="1"/>
    <n v="1240"/>
    <x v="1"/>
    <n v="9"/>
    <n v="3"/>
    <x v="2"/>
    <n v="1"/>
    <n v="1071"/>
    <n v="1"/>
    <x v="0"/>
    <n v="63"/>
    <n v="3"/>
    <x v="1"/>
    <s v="Research Scientist"/>
    <n v="3"/>
    <s v="Married"/>
    <x v="131"/>
    <n v="12154"/>
    <n v="2"/>
    <s v="Y"/>
    <x v="1"/>
    <n v="19"/>
    <n v="3"/>
    <n v="2"/>
    <x v="0"/>
    <n v="1"/>
    <n v="18"/>
    <n v="4"/>
    <n v="3"/>
    <n v="5"/>
    <n v="4"/>
    <x v="0"/>
    <n v="3"/>
  </r>
  <r>
    <n v="36"/>
    <x v="1"/>
    <x v="0"/>
    <n v="796"/>
    <x v="1"/>
    <n v="12"/>
    <n v="5"/>
    <x v="2"/>
    <n v="1"/>
    <n v="1073"/>
    <n v="4"/>
    <x v="0"/>
    <n v="51"/>
    <n v="2"/>
    <x v="2"/>
    <s v="Manufacturing Director"/>
    <n v="4"/>
    <s v="Single"/>
    <x v="731"/>
    <n v="15669"/>
    <n v="0"/>
    <s v="Y"/>
    <x v="1"/>
    <n v="11"/>
    <n v="3"/>
    <n v="2"/>
    <x v="0"/>
    <n v="0"/>
    <n v="15"/>
    <n v="2"/>
    <n v="2"/>
    <n v="14"/>
    <n v="8"/>
    <x v="4"/>
    <n v="8"/>
  </r>
  <r>
    <n v="55"/>
    <x v="1"/>
    <x v="2"/>
    <n v="444"/>
    <x v="1"/>
    <n v="2"/>
    <n v="1"/>
    <x v="2"/>
    <n v="1"/>
    <n v="1074"/>
    <n v="3"/>
    <x v="1"/>
    <n v="40"/>
    <n v="2"/>
    <x v="3"/>
    <s v="Manager"/>
    <n v="1"/>
    <s v="Single"/>
    <x v="732"/>
    <n v="17323"/>
    <n v="7"/>
    <s v="Y"/>
    <x v="1"/>
    <n v="15"/>
    <n v="3"/>
    <n v="2"/>
    <x v="0"/>
    <n v="0"/>
    <n v="31"/>
    <n v="3"/>
    <n v="4"/>
    <n v="9"/>
    <n v="7"/>
    <x v="7"/>
    <n v="2"/>
  </r>
  <r>
    <n v="43"/>
    <x v="1"/>
    <x v="0"/>
    <n v="415"/>
    <x v="0"/>
    <n v="25"/>
    <n v="3"/>
    <x v="2"/>
    <n v="1"/>
    <n v="1076"/>
    <n v="3"/>
    <x v="1"/>
    <n v="79"/>
    <n v="2"/>
    <x v="2"/>
    <s v="Sales Executive"/>
    <n v="4"/>
    <s v="Divorced"/>
    <x v="733"/>
    <n v="5268"/>
    <n v="5"/>
    <s v="Y"/>
    <x v="1"/>
    <n v="13"/>
    <n v="3"/>
    <n v="3"/>
    <x v="0"/>
    <n v="1"/>
    <n v="18"/>
    <n v="5"/>
    <n v="3"/>
    <n v="1"/>
    <n v="0"/>
    <x v="0"/>
    <n v="0"/>
  </r>
  <r>
    <n v="20"/>
    <x v="0"/>
    <x v="1"/>
    <n v="769"/>
    <x v="0"/>
    <n v="9"/>
    <n v="3"/>
    <x v="3"/>
    <n v="1"/>
    <n v="1077"/>
    <n v="4"/>
    <x v="0"/>
    <n v="54"/>
    <n v="3"/>
    <x v="1"/>
    <s v="Sales Representative"/>
    <n v="4"/>
    <s v="Single"/>
    <x v="157"/>
    <n v="17205"/>
    <n v="1"/>
    <s v="Y"/>
    <x v="0"/>
    <n v="14"/>
    <n v="3"/>
    <n v="2"/>
    <x v="0"/>
    <n v="0"/>
    <n v="2"/>
    <n v="3"/>
    <n v="3"/>
    <n v="2"/>
    <n v="2"/>
    <x v="0"/>
    <n v="2"/>
  </r>
  <r>
    <n v="21"/>
    <x v="0"/>
    <x v="0"/>
    <n v="1334"/>
    <x v="1"/>
    <n v="10"/>
    <n v="3"/>
    <x v="0"/>
    <n v="1"/>
    <n v="1079"/>
    <n v="3"/>
    <x v="0"/>
    <n v="36"/>
    <n v="2"/>
    <x v="1"/>
    <s v="Laboratory Technician"/>
    <n v="1"/>
    <s v="Single"/>
    <x v="734"/>
    <n v="17258"/>
    <n v="1"/>
    <s v="Y"/>
    <x v="1"/>
    <n v="13"/>
    <n v="3"/>
    <n v="1"/>
    <x v="0"/>
    <n v="0"/>
    <n v="1"/>
    <n v="6"/>
    <n v="2"/>
    <n v="1"/>
    <n v="0"/>
    <x v="1"/>
    <n v="0"/>
  </r>
  <r>
    <n v="46"/>
    <x v="1"/>
    <x v="0"/>
    <n v="1003"/>
    <x v="1"/>
    <n v="8"/>
    <n v="4"/>
    <x v="0"/>
    <n v="1"/>
    <n v="1080"/>
    <n v="4"/>
    <x v="0"/>
    <n v="74"/>
    <n v="2"/>
    <x v="0"/>
    <s v="Research Scientist"/>
    <n v="1"/>
    <s v="Divorced"/>
    <x v="735"/>
    <n v="21029"/>
    <n v="8"/>
    <s v="Y"/>
    <x v="0"/>
    <n v="23"/>
    <n v="4"/>
    <n v="1"/>
    <x v="0"/>
    <n v="3"/>
    <n v="19"/>
    <n v="2"/>
    <n v="3"/>
    <n v="16"/>
    <n v="13"/>
    <x v="1"/>
    <n v="7"/>
  </r>
  <r>
    <n v="51"/>
    <x v="0"/>
    <x v="0"/>
    <n v="1323"/>
    <x v="1"/>
    <n v="4"/>
    <n v="4"/>
    <x v="0"/>
    <n v="1"/>
    <n v="1081"/>
    <n v="1"/>
    <x v="1"/>
    <n v="34"/>
    <n v="3"/>
    <x v="1"/>
    <s v="Research Scientist"/>
    <n v="3"/>
    <s v="Married"/>
    <x v="736"/>
    <n v="10332"/>
    <n v="9"/>
    <s v="Y"/>
    <x v="0"/>
    <n v="12"/>
    <n v="3"/>
    <n v="3"/>
    <x v="0"/>
    <n v="3"/>
    <n v="18"/>
    <n v="2"/>
    <n v="4"/>
    <n v="10"/>
    <n v="0"/>
    <x v="3"/>
    <n v="7"/>
  </r>
  <r>
    <n v="28"/>
    <x v="0"/>
    <x v="2"/>
    <n v="1366"/>
    <x v="1"/>
    <n v="24"/>
    <n v="2"/>
    <x v="4"/>
    <n v="1"/>
    <n v="1082"/>
    <n v="2"/>
    <x v="1"/>
    <n v="72"/>
    <n v="2"/>
    <x v="2"/>
    <s v="Healthcare Representative"/>
    <n v="1"/>
    <s v="Single"/>
    <x v="737"/>
    <n v="12355"/>
    <n v="1"/>
    <s v="Y"/>
    <x v="1"/>
    <n v="12"/>
    <n v="3"/>
    <n v="1"/>
    <x v="0"/>
    <n v="0"/>
    <n v="10"/>
    <n v="2"/>
    <n v="2"/>
    <n v="10"/>
    <n v="7"/>
    <x v="1"/>
    <n v="9"/>
  </r>
  <r>
    <n v="26"/>
    <x v="1"/>
    <x v="0"/>
    <n v="192"/>
    <x v="1"/>
    <n v="1"/>
    <n v="2"/>
    <x v="2"/>
    <n v="1"/>
    <n v="1083"/>
    <n v="1"/>
    <x v="1"/>
    <n v="59"/>
    <n v="2"/>
    <x v="1"/>
    <s v="Laboratory Technician"/>
    <n v="1"/>
    <s v="Married"/>
    <x v="738"/>
    <n v="11141"/>
    <n v="1"/>
    <s v="Y"/>
    <x v="1"/>
    <n v="16"/>
    <n v="3"/>
    <n v="1"/>
    <x v="0"/>
    <n v="2"/>
    <n v="6"/>
    <n v="2"/>
    <n v="3"/>
    <n v="5"/>
    <n v="3"/>
    <x v="1"/>
    <n v="3"/>
  </r>
  <r>
    <n v="30"/>
    <x v="1"/>
    <x v="0"/>
    <n v="1176"/>
    <x v="1"/>
    <n v="20"/>
    <n v="3"/>
    <x v="1"/>
    <n v="1"/>
    <n v="1084"/>
    <n v="3"/>
    <x v="1"/>
    <n v="85"/>
    <n v="3"/>
    <x v="0"/>
    <s v="Manufacturing Director"/>
    <n v="1"/>
    <s v="Married"/>
    <x v="739"/>
    <n v="9096"/>
    <n v="0"/>
    <s v="Y"/>
    <x v="1"/>
    <n v="15"/>
    <n v="3"/>
    <n v="3"/>
    <x v="0"/>
    <n v="1"/>
    <n v="7"/>
    <n v="1"/>
    <n v="2"/>
    <n v="6"/>
    <n v="2"/>
    <x v="0"/>
    <n v="2"/>
  </r>
  <r>
    <n v="41"/>
    <x v="1"/>
    <x v="0"/>
    <n v="509"/>
    <x v="1"/>
    <n v="7"/>
    <n v="2"/>
    <x v="4"/>
    <n v="1"/>
    <n v="1085"/>
    <n v="2"/>
    <x v="0"/>
    <n v="43"/>
    <n v="4"/>
    <x v="1"/>
    <s v="Research Scientist"/>
    <n v="3"/>
    <s v="Married"/>
    <x v="740"/>
    <n v="18863"/>
    <n v="1"/>
    <s v="Y"/>
    <x v="1"/>
    <n v="13"/>
    <n v="3"/>
    <n v="3"/>
    <x v="0"/>
    <n v="0"/>
    <n v="10"/>
    <n v="3"/>
    <n v="3"/>
    <n v="10"/>
    <n v="6"/>
    <x v="0"/>
    <n v="8"/>
  </r>
  <r>
    <n v="38"/>
    <x v="1"/>
    <x v="0"/>
    <n v="330"/>
    <x v="1"/>
    <n v="17"/>
    <n v="1"/>
    <x v="0"/>
    <n v="1"/>
    <n v="1088"/>
    <n v="3"/>
    <x v="0"/>
    <n v="65"/>
    <n v="2"/>
    <x v="2"/>
    <s v="Healthcare Representative"/>
    <n v="3"/>
    <s v="Married"/>
    <x v="741"/>
    <n v="24608"/>
    <n v="0"/>
    <s v="Y"/>
    <x v="1"/>
    <n v="18"/>
    <n v="3"/>
    <n v="1"/>
    <x v="0"/>
    <n v="1"/>
    <n v="20"/>
    <n v="4"/>
    <n v="2"/>
    <n v="19"/>
    <n v="9"/>
    <x v="1"/>
    <n v="9"/>
  </r>
  <r>
    <n v="40"/>
    <x v="1"/>
    <x v="0"/>
    <n v="1492"/>
    <x v="1"/>
    <n v="20"/>
    <n v="4"/>
    <x v="4"/>
    <n v="1"/>
    <n v="1092"/>
    <n v="1"/>
    <x v="1"/>
    <n v="61"/>
    <n v="3"/>
    <x v="2"/>
    <s v="Healthcare Representative"/>
    <n v="4"/>
    <s v="Married"/>
    <x v="742"/>
    <n v="26542"/>
    <n v="4"/>
    <s v="Y"/>
    <x v="1"/>
    <n v="20"/>
    <n v="4"/>
    <n v="4"/>
    <x v="0"/>
    <n v="1"/>
    <n v="14"/>
    <n v="6"/>
    <n v="3"/>
    <n v="11"/>
    <n v="10"/>
    <x v="14"/>
    <n v="1"/>
  </r>
  <r>
    <n v="27"/>
    <x v="1"/>
    <x v="2"/>
    <n v="1277"/>
    <x v="1"/>
    <n v="8"/>
    <n v="5"/>
    <x v="0"/>
    <n v="1"/>
    <n v="1094"/>
    <n v="1"/>
    <x v="1"/>
    <n v="87"/>
    <n v="1"/>
    <x v="1"/>
    <s v="Laboratory Technician"/>
    <n v="3"/>
    <s v="Married"/>
    <x v="743"/>
    <n v="5869"/>
    <n v="1"/>
    <s v="Y"/>
    <x v="1"/>
    <n v="19"/>
    <n v="3"/>
    <n v="4"/>
    <x v="0"/>
    <n v="3"/>
    <n v="3"/>
    <n v="4"/>
    <n v="3"/>
    <n v="3"/>
    <n v="2"/>
    <x v="1"/>
    <n v="2"/>
  </r>
  <r>
    <n v="55"/>
    <x v="1"/>
    <x v="1"/>
    <n v="1091"/>
    <x v="1"/>
    <n v="2"/>
    <n v="1"/>
    <x v="0"/>
    <n v="1"/>
    <n v="1096"/>
    <n v="4"/>
    <x v="1"/>
    <n v="65"/>
    <n v="3"/>
    <x v="2"/>
    <s v="Manufacturing Director"/>
    <n v="2"/>
    <s v="Married"/>
    <x v="744"/>
    <n v="15813"/>
    <n v="3"/>
    <s v="Y"/>
    <x v="1"/>
    <n v="18"/>
    <n v="3"/>
    <n v="2"/>
    <x v="0"/>
    <n v="1"/>
    <n v="23"/>
    <n v="4"/>
    <n v="3"/>
    <n v="3"/>
    <n v="2"/>
    <x v="1"/>
    <n v="2"/>
  </r>
  <r>
    <n v="28"/>
    <x v="1"/>
    <x v="0"/>
    <n v="857"/>
    <x v="1"/>
    <n v="10"/>
    <n v="3"/>
    <x v="1"/>
    <n v="1"/>
    <n v="1097"/>
    <n v="3"/>
    <x v="0"/>
    <n v="59"/>
    <n v="3"/>
    <x v="0"/>
    <s v="Research Scientist"/>
    <n v="3"/>
    <s v="Single"/>
    <x v="745"/>
    <n v="7909"/>
    <n v="3"/>
    <s v="Y"/>
    <x v="1"/>
    <n v="13"/>
    <n v="3"/>
    <n v="4"/>
    <x v="0"/>
    <n v="0"/>
    <n v="10"/>
    <n v="4"/>
    <n v="4"/>
    <n v="8"/>
    <n v="7"/>
    <x v="1"/>
    <n v="7"/>
  </r>
  <r>
    <n v="44"/>
    <x v="0"/>
    <x v="0"/>
    <n v="1376"/>
    <x v="2"/>
    <n v="1"/>
    <n v="2"/>
    <x v="2"/>
    <n v="1"/>
    <n v="1098"/>
    <n v="2"/>
    <x v="1"/>
    <n v="91"/>
    <n v="2"/>
    <x v="2"/>
    <s v="Human Resources"/>
    <n v="1"/>
    <s v="Married"/>
    <x v="746"/>
    <n v="2326"/>
    <n v="9"/>
    <s v="Y"/>
    <x v="1"/>
    <n v="14"/>
    <n v="3"/>
    <n v="4"/>
    <x v="0"/>
    <n v="1"/>
    <n v="24"/>
    <n v="1"/>
    <n v="3"/>
    <n v="20"/>
    <n v="6"/>
    <x v="2"/>
    <n v="6"/>
  </r>
  <r>
    <n v="33"/>
    <x v="1"/>
    <x v="0"/>
    <n v="654"/>
    <x v="1"/>
    <n v="5"/>
    <n v="3"/>
    <x v="0"/>
    <n v="1"/>
    <n v="1099"/>
    <n v="4"/>
    <x v="1"/>
    <n v="34"/>
    <n v="2"/>
    <x v="2"/>
    <s v="Healthcare Representative"/>
    <n v="4"/>
    <s v="Divorced"/>
    <x v="747"/>
    <n v="21214"/>
    <n v="4"/>
    <s v="Y"/>
    <x v="1"/>
    <n v="15"/>
    <n v="3"/>
    <n v="3"/>
    <x v="0"/>
    <n v="1"/>
    <n v="9"/>
    <n v="2"/>
    <n v="3"/>
    <n v="3"/>
    <n v="2"/>
    <x v="1"/>
    <n v="2"/>
  </r>
  <r>
    <n v="35"/>
    <x v="0"/>
    <x v="0"/>
    <n v="1204"/>
    <x v="0"/>
    <n v="4"/>
    <n v="3"/>
    <x v="4"/>
    <n v="1"/>
    <n v="1100"/>
    <n v="4"/>
    <x v="1"/>
    <n v="86"/>
    <n v="3"/>
    <x v="2"/>
    <s v="Sales Executive"/>
    <n v="1"/>
    <s v="Single"/>
    <x v="748"/>
    <n v="10333"/>
    <n v="0"/>
    <s v="Y"/>
    <x v="0"/>
    <n v="22"/>
    <n v="4"/>
    <n v="1"/>
    <x v="0"/>
    <n v="0"/>
    <n v="9"/>
    <n v="2"/>
    <n v="3"/>
    <n v="8"/>
    <n v="7"/>
    <x v="5"/>
    <n v="7"/>
  </r>
  <r>
    <n v="33"/>
    <x v="0"/>
    <x v="1"/>
    <n v="827"/>
    <x v="1"/>
    <n v="29"/>
    <n v="4"/>
    <x v="2"/>
    <n v="1"/>
    <n v="1101"/>
    <n v="1"/>
    <x v="0"/>
    <n v="54"/>
    <n v="2"/>
    <x v="0"/>
    <s v="Research Scientist"/>
    <n v="3"/>
    <s v="Single"/>
    <x v="749"/>
    <n v="3129"/>
    <n v="1"/>
    <s v="Y"/>
    <x v="1"/>
    <n v="22"/>
    <n v="4"/>
    <n v="2"/>
    <x v="0"/>
    <n v="0"/>
    <n v="14"/>
    <n v="4"/>
    <n v="3"/>
    <n v="13"/>
    <n v="7"/>
    <x v="2"/>
    <n v="8"/>
  </r>
  <r>
    <n v="28"/>
    <x v="1"/>
    <x v="0"/>
    <n v="895"/>
    <x v="1"/>
    <n v="15"/>
    <n v="2"/>
    <x v="0"/>
    <n v="1"/>
    <n v="1102"/>
    <n v="1"/>
    <x v="1"/>
    <n v="50"/>
    <n v="3"/>
    <x v="1"/>
    <s v="Laboratory Technician"/>
    <n v="3"/>
    <s v="Divorced"/>
    <x v="750"/>
    <n v="22482"/>
    <n v="1"/>
    <s v="Y"/>
    <x v="1"/>
    <n v="16"/>
    <n v="3"/>
    <n v="4"/>
    <x v="0"/>
    <n v="1"/>
    <n v="4"/>
    <n v="5"/>
    <n v="2"/>
    <n v="4"/>
    <n v="2"/>
    <x v="3"/>
    <n v="2"/>
  </r>
  <r>
    <n v="34"/>
    <x v="1"/>
    <x v="1"/>
    <n v="618"/>
    <x v="1"/>
    <n v="3"/>
    <n v="1"/>
    <x v="0"/>
    <n v="1"/>
    <n v="1103"/>
    <n v="1"/>
    <x v="1"/>
    <n v="45"/>
    <n v="3"/>
    <x v="0"/>
    <s v="Healthcare Representative"/>
    <n v="4"/>
    <s v="Single"/>
    <x v="751"/>
    <n v="22266"/>
    <n v="0"/>
    <s v="Y"/>
    <x v="1"/>
    <n v="17"/>
    <n v="3"/>
    <n v="3"/>
    <x v="0"/>
    <n v="0"/>
    <n v="7"/>
    <n v="1"/>
    <n v="2"/>
    <n v="6"/>
    <n v="2"/>
    <x v="0"/>
    <n v="4"/>
  </r>
  <r>
    <n v="37"/>
    <x v="1"/>
    <x v="0"/>
    <n v="309"/>
    <x v="0"/>
    <n v="10"/>
    <n v="4"/>
    <x v="0"/>
    <n v="1"/>
    <n v="1105"/>
    <n v="4"/>
    <x v="0"/>
    <n v="88"/>
    <n v="2"/>
    <x v="0"/>
    <s v="Sales Executive"/>
    <n v="4"/>
    <s v="Divorced"/>
    <x v="752"/>
    <n v="24223"/>
    <n v="2"/>
    <s v="Y"/>
    <x v="0"/>
    <n v="14"/>
    <n v="3"/>
    <n v="3"/>
    <x v="0"/>
    <n v="3"/>
    <n v="8"/>
    <n v="5"/>
    <n v="3"/>
    <n v="1"/>
    <n v="0"/>
    <x v="0"/>
    <n v="0"/>
  </r>
  <r>
    <n v="25"/>
    <x v="0"/>
    <x v="0"/>
    <n v="1219"/>
    <x v="1"/>
    <n v="4"/>
    <n v="1"/>
    <x v="4"/>
    <n v="1"/>
    <n v="1106"/>
    <n v="4"/>
    <x v="1"/>
    <n v="32"/>
    <n v="3"/>
    <x v="1"/>
    <s v="Laboratory Technician"/>
    <n v="4"/>
    <s v="Married"/>
    <x v="753"/>
    <n v="4605"/>
    <n v="1"/>
    <s v="Y"/>
    <x v="0"/>
    <n v="15"/>
    <n v="3"/>
    <n v="2"/>
    <x v="0"/>
    <n v="1"/>
    <n v="7"/>
    <n v="3"/>
    <n v="4"/>
    <n v="7"/>
    <n v="7"/>
    <x v="8"/>
    <n v="6"/>
  </r>
  <r>
    <n v="26"/>
    <x v="0"/>
    <x v="0"/>
    <n v="1330"/>
    <x v="1"/>
    <n v="21"/>
    <n v="3"/>
    <x v="2"/>
    <n v="1"/>
    <n v="1107"/>
    <n v="1"/>
    <x v="1"/>
    <n v="37"/>
    <n v="3"/>
    <x v="1"/>
    <s v="Laboratory Technician"/>
    <n v="3"/>
    <s v="Divorced"/>
    <x v="638"/>
    <n v="19373"/>
    <n v="1"/>
    <s v="Y"/>
    <x v="1"/>
    <n v="20"/>
    <n v="4"/>
    <n v="3"/>
    <x v="0"/>
    <n v="1"/>
    <n v="1"/>
    <n v="0"/>
    <n v="2"/>
    <n v="1"/>
    <n v="1"/>
    <x v="0"/>
    <n v="0"/>
  </r>
  <r>
    <n v="33"/>
    <x v="0"/>
    <x v="0"/>
    <n v="1017"/>
    <x v="1"/>
    <n v="25"/>
    <n v="3"/>
    <x v="2"/>
    <n v="1"/>
    <n v="1108"/>
    <n v="1"/>
    <x v="1"/>
    <n v="55"/>
    <n v="2"/>
    <x v="1"/>
    <s v="Research Scientist"/>
    <n v="2"/>
    <s v="Single"/>
    <x v="754"/>
    <n v="2993"/>
    <n v="4"/>
    <s v="Y"/>
    <x v="0"/>
    <n v="20"/>
    <n v="4"/>
    <n v="2"/>
    <x v="0"/>
    <n v="0"/>
    <n v="5"/>
    <n v="0"/>
    <n v="3"/>
    <n v="2"/>
    <n v="2"/>
    <x v="3"/>
    <n v="2"/>
  </r>
  <r>
    <n v="42"/>
    <x v="1"/>
    <x v="0"/>
    <n v="469"/>
    <x v="1"/>
    <n v="2"/>
    <n v="2"/>
    <x v="2"/>
    <n v="1"/>
    <n v="1109"/>
    <n v="4"/>
    <x v="1"/>
    <n v="35"/>
    <n v="3"/>
    <x v="3"/>
    <s v="Manager"/>
    <n v="1"/>
    <s v="Married"/>
    <x v="755"/>
    <n v="14399"/>
    <n v="0"/>
    <s v="Y"/>
    <x v="1"/>
    <n v="17"/>
    <n v="3"/>
    <n v="4"/>
    <x v="0"/>
    <n v="1"/>
    <n v="23"/>
    <n v="3"/>
    <n v="3"/>
    <n v="22"/>
    <n v="6"/>
    <x v="11"/>
    <n v="7"/>
  </r>
  <r>
    <n v="28"/>
    <x v="0"/>
    <x v="1"/>
    <n v="1009"/>
    <x v="1"/>
    <n v="1"/>
    <n v="3"/>
    <x v="2"/>
    <n v="1"/>
    <n v="1111"/>
    <n v="1"/>
    <x v="1"/>
    <n v="45"/>
    <n v="2"/>
    <x v="1"/>
    <s v="Laboratory Technician"/>
    <n v="2"/>
    <s v="Divorced"/>
    <x v="756"/>
    <n v="7160"/>
    <n v="1"/>
    <s v="Y"/>
    <x v="1"/>
    <n v="15"/>
    <n v="3"/>
    <n v="1"/>
    <x v="0"/>
    <n v="2"/>
    <n v="1"/>
    <n v="2"/>
    <n v="3"/>
    <n v="1"/>
    <n v="0"/>
    <x v="0"/>
    <n v="0"/>
  </r>
  <r>
    <n v="50"/>
    <x v="0"/>
    <x v="1"/>
    <n v="959"/>
    <x v="0"/>
    <n v="1"/>
    <n v="4"/>
    <x v="1"/>
    <n v="1"/>
    <n v="1113"/>
    <n v="4"/>
    <x v="1"/>
    <n v="81"/>
    <n v="3"/>
    <x v="0"/>
    <s v="Sales Executive"/>
    <n v="3"/>
    <s v="Single"/>
    <x v="757"/>
    <n v="17251"/>
    <n v="3"/>
    <s v="Y"/>
    <x v="0"/>
    <n v="14"/>
    <n v="3"/>
    <n v="4"/>
    <x v="0"/>
    <n v="0"/>
    <n v="5"/>
    <n v="4"/>
    <n v="3"/>
    <n v="0"/>
    <n v="0"/>
    <x v="0"/>
    <n v="0"/>
  </r>
  <r>
    <n v="33"/>
    <x v="1"/>
    <x v="1"/>
    <n v="970"/>
    <x v="0"/>
    <n v="7"/>
    <n v="3"/>
    <x v="0"/>
    <n v="1"/>
    <n v="1114"/>
    <n v="4"/>
    <x v="0"/>
    <n v="30"/>
    <n v="3"/>
    <x v="0"/>
    <s v="Sales Executive"/>
    <n v="2"/>
    <s v="Married"/>
    <x v="758"/>
    <n v="13401"/>
    <n v="0"/>
    <s v="Y"/>
    <x v="1"/>
    <n v="17"/>
    <n v="3"/>
    <n v="3"/>
    <x v="0"/>
    <n v="1"/>
    <n v="4"/>
    <n v="3"/>
    <n v="3"/>
    <n v="3"/>
    <n v="2"/>
    <x v="0"/>
    <n v="2"/>
  </r>
  <r>
    <n v="34"/>
    <x v="1"/>
    <x v="2"/>
    <n v="697"/>
    <x v="1"/>
    <n v="3"/>
    <n v="4"/>
    <x v="0"/>
    <n v="1"/>
    <n v="1115"/>
    <n v="3"/>
    <x v="1"/>
    <n v="40"/>
    <n v="2"/>
    <x v="1"/>
    <s v="Research Scientist"/>
    <n v="4"/>
    <s v="Married"/>
    <x v="759"/>
    <n v="22478"/>
    <n v="3"/>
    <s v="Y"/>
    <x v="1"/>
    <n v="17"/>
    <n v="3"/>
    <n v="4"/>
    <x v="0"/>
    <n v="3"/>
    <n v="6"/>
    <n v="2"/>
    <n v="3"/>
    <n v="0"/>
    <n v="0"/>
    <x v="0"/>
    <n v="0"/>
  </r>
  <r>
    <n v="48"/>
    <x v="1"/>
    <x v="2"/>
    <n v="1262"/>
    <x v="1"/>
    <n v="1"/>
    <n v="4"/>
    <x v="2"/>
    <n v="1"/>
    <n v="1116"/>
    <n v="1"/>
    <x v="1"/>
    <n v="35"/>
    <n v="4"/>
    <x v="3"/>
    <s v="Manager"/>
    <n v="4"/>
    <s v="Single"/>
    <x v="760"/>
    <n v="16154"/>
    <n v="2"/>
    <s v="Y"/>
    <x v="1"/>
    <n v="22"/>
    <n v="4"/>
    <n v="3"/>
    <x v="0"/>
    <n v="0"/>
    <n v="27"/>
    <n v="3"/>
    <n v="2"/>
    <n v="5"/>
    <n v="4"/>
    <x v="3"/>
    <n v="1"/>
  </r>
  <r>
    <n v="45"/>
    <x v="1"/>
    <x v="2"/>
    <n v="1050"/>
    <x v="0"/>
    <n v="9"/>
    <n v="4"/>
    <x v="0"/>
    <n v="1"/>
    <n v="1117"/>
    <n v="2"/>
    <x v="0"/>
    <n v="65"/>
    <n v="2"/>
    <x v="0"/>
    <s v="Sales Executive"/>
    <n v="3"/>
    <s v="Married"/>
    <x v="761"/>
    <n v="17970"/>
    <n v="1"/>
    <s v="Y"/>
    <x v="1"/>
    <n v="13"/>
    <n v="3"/>
    <n v="4"/>
    <x v="0"/>
    <n v="1"/>
    <n v="15"/>
    <n v="2"/>
    <n v="3"/>
    <n v="15"/>
    <n v="10"/>
    <x v="5"/>
    <n v="12"/>
  </r>
  <r>
    <n v="52"/>
    <x v="1"/>
    <x v="0"/>
    <n v="994"/>
    <x v="1"/>
    <n v="7"/>
    <n v="4"/>
    <x v="0"/>
    <n v="1"/>
    <n v="1118"/>
    <n v="2"/>
    <x v="1"/>
    <n v="87"/>
    <n v="3"/>
    <x v="2"/>
    <s v="Healthcare Representative"/>
    <n v="2"/>
    <s v="Single"/>
    <x v="762"/>
    <n v="15322"/>
    <n v="7"/>
    <s v="Y"/>
    <x v="1"/>
    <n v="19"/>
    <n v="3"/>
    <n v="4"/>
    <x v="0"/>
    <n v="0"/>
    <n v="18"/>
    <n v="4"/>
    <n v="3"/>
    <n v="8"/>
    <n v="6"/>
    <x v="5"/>
    <n v="0"/>
  </r>
  <r>
    <n v="38"/>
    <x v="1"/>
    <x v="0"/>
    <n v="770"/>
    <x v="0"/>
    <n v="10"/>
    <n v="4"/>
    <x v="3"/>
    <n v="1"/>
    <n v="1119"/>
    <n v="3"/>
    <x v="1"/>
    <n v="73"/>
    <n v="2"/>
    <x v="2"/>
    <s v="Sales Executive"/>
    <n v="3"/>
    <s v="Divorced"/>
    <x v="763"/>
    <n v="5569"/>
    <n v="0"/>
    <s v="Y"/>
    <x v="0"/>
    <n v="14"/>
    <n v="3"/>
    <n v="2"/>
    <x v="0"/>
    <n v="2"/>
    <n v="9"/>
    <n v="2"/>
    <n v="3"/>
    <n v="8"/>
    <n v="7"/>
    <x v="3"/>
    <n v="7"/>
  </r>
  <r>
    <n v="29"/>
    <x v="1"/>
    <x v="0"/>
    <n v="1107"/>
    <x v="1"/>
    <n v="28"/>
    <n v="4"/>
    <x v="0"/>
    <n v="1"/>
    <n v="1120"/>
    <n v="3"/>
    <x v="0"/>
    <n v="93"/>
    <n v="3"/>
    <x v="1"/>
    <s v="Research Scientist"/>
    <n v="4"/>
    <s v="Divorced"/>
    <x v="764"/>
    <n v="26968"/>
    <n v="4"/>
    <s v="Y"/>
    <x v="1"/>
    <n v="22"/>
    <n v="4"/>
    <n v="1"/>
    <x v="0"/>
    <n v="1"/>
    <n v="11"/>
    <n v="1"/>
    <n v="3"/>
    <n v="7"/>
    <n v="5"/>
    <x v="1"/>
    <n v="7"/>
  </r>
  <r>
    <n v="28"/>
    <x v="1"/>
    <x v="0"/>
    <n v="950"/>
    <x v="1"/>
    <n v="3"/>
    <n v="3"/>
    <x v="2"/>
    <n v="1"/>
    <n v="1121"/>
    <n v="4"/>
    <x v="0"/>
    <n v="93"/>
    <n v="3"/>
    <x v="2"/>
    <s v="Manufacturing Director"/>
    <n v="2"/>
    <s v="Divorced"/>
    <x v="765"/>
    <n v="8039"/>
    <n v="0"/>
    <s v="Y"/>
    <x v="1"/>
    <n v="17"/>
    <n v="3"/>
    <n v="2"/>
    <x v="0"/>
    <n v="3"/>
    <n v="10"/>
    <n v="3"/>
    <n v="2"/>
    <n v="9"/>
    <n v="7"/>
    <x v="1"/>
    <n v="7"/>
  </r>
  <r>
    <n v="46"/>
    <x v="1"/>
    <x v="0"/>
    <n v="406"/>
    <x v="0"/>
    <n v="3"/>
    <n v="1"/>
    <x v="3"/>
    <n v="1"/>
    <n v="1124"/>
    <n v="1"/>
    <x v="1"/>
    <n v="52"/>
    <n v="3"/>
    <x v="3"/>
    <s v="Manager"/>
    <n v="3"/>
    <s v="Married"/>
    <x v="766"/>
    <n v="15596"/>
    <n v="3"/>
    <s v="Y"/>
    <x v="1"/>
    <n v="12"/>
    <n v="3"/>
    <n v="4"/>
    <x v="0"/>
    <n v="1"/>
    <n v="23"/>
    <n v="3"/>
    <n v="3"/>
    <n v="12"/>
    <n v="9"/>
    <x v="5"/>
    <n v="9"/>
  </r>
  <r>
    <n v="38"/>
    <x v="1"/>
    <x v="0"/>
    <n v="130"/>
    <x v="0"/>
    <n v="2"/>
    <n v="2"/>
    <x v="3"/>
    <n v="1"/>
    <n v="1125"/>
    <n v="4"/>
    <x v="1"/>
    <n v="32"/>
    <n v="3"/>
    <x v="2"/>
    <s v="Sales Executive"/>
    <n v="2"/>
    <s v="Single"/>
    <x v="767"/>
    <n v="20619"/>
    <n v="7"/>
    <s v="Y"/>
    <x v="1"/>
    <n v="16"/>
    <n v="3"/>
    <n v="3"/>
    <x v="0"/>
    <n v="0"/>
    <n v="10"/>
    <n v="2"/>
    <n v="3"/>
    <n v="1"/>
    <n v="0"/>
    <x v="0"/>
    <n v="0"/>
  </r>
  <r>
    <n v="43"/>
    <x v="1"/>
    <x v="1"/>
    <n v="1082"/>
    <x v="1"/>
    <n v="27"/>
    <n v="3"/>
    <x v="0"/>
    <n v="1"/>
    <n v="1126"/>
    <n v="3"/>
    <x v="0"/>
    <n v="83"/>
    <n v="3"/>
    <x v="2"/>
    <s v="Manufacturing Director"/>
    <n v="1"/>
    <s v="Married"/>
    <x v="768"/>
    <n v="11535"/>
    <n v="8"/>
    <s v="Y"/>
    <x v="1"/>
    <n v="11"/>
    <n v="3"/>
    <n v="3"/>
    <x v="0"/>
    <n v="1"/>
    <n v="18"/>
    <n v="1"/>
    <n v="3"/>
    <n v="8"/>
    <n v="7"/>
    <x v="0"/>
    <n v="1"/>
  </r>
  <r>
    <n v="39"/>
    <x v="0"/>
    <x v="1"/>
    <n v="203"/>
    <x v="1"/>
    <n v="2"/>
    <n v="3"/>
    <x v="0"/>
    <n v="1"/>
    <n v="1127"/>
    <n v="1"/>
    <x v="1"/>
    <n v="84"/>
    <n v="3"/>
    <x v="3"/>
    <s v="Healthcare Representative"/>
    <n v="4"/>
    <s v="Divorced"/>
    <x v="769"/>
    <n v="13547"/>
    <n v="7"/>
    <s v="Y"/>
    <x v="1"/>
    <n v="11"/>
    <n v="3"/>
    <n v="4"/>
    <x v="0"/>
    <n v="3"/>
    <n v="21"/>
    <n v="4"/>
    <n v="3"/>
    <n v="18"/>
    <n v="7"/>
    <x v="14"/>
    <n v="5"/>
  </r>
  <r>
    <n v="40"/>
    <x v="1"/>
    <x v="0"/>
    <n v="1308"/>
    <x v="1"/>
    <n v="14"/>
    <n v="3"/>
    <x v="2"/>
    <n v="1"/>
    <n v="1128"/>
    <n v="3"/>
    <x v="1"/>
    <n v="44"/>
    <n v="2"/>
    <x v="4"/>
    <s v="Research Director"/>
    <n v="3"/>
    <s v="Single"/>
    <x v="770"/>
    <n v="17544"/>
    <n v="1"/>
    <s v="Y"/>
    <x v="1"/>
    <n v="14"/>
    <n v="3"/>
    <n v="1"/>
    <x v="0"/>
    <n v="0"/>
    <n v="21"/>
    <n v="2"/>
    <n v="4"/>
    <n v="20"/>
    <n v="7"/>
    <x v="5"/>
    <n v="9"/>
  </r>
  <r>
    <n v="21"/>
    <x v="1"/>
    <x v="0"/>
    <n v="984"/>
    <x v="1"/>
    <n v="1"/>
    <n v="1"/>
    <x v="4"/>
    <n v="1"/>
    <n v="1131"/>
    <n v="4"/>
    <x v="0"/>
    <n v="70"/>
    <n v="2"/>
    <x v="1"/>
    <s v="Research Scientist"/>
    <n v="2"/>
    <s v="Single"/>
    <x v="266"/>
    <n v="25326"/>
    <n v="1"/>
    <s v="Y"/>
    <x v="0"/>
    <n v="11"/>
    <n v="3"/>
    <n v="3"/>
    <x v="0"/>
    <n v="0"/>
    <n v="2"/>
    <n v="6"/>
    <n v="4"/>
    <n v="2"/>
    <n v="2"/>
    <x v="3"/>
    <n v="2"/>
  </r>
  <r>
    <n v="39"/>
    <x v="1"/>
    <x v="2"/>
    <n v="439"/>
    <x v="1"/>
    <n v="9"/>
    <n v="3"/>
    <x v="0"/>
    <n v="1"/>
    <n v="1132"/>
    <n v="3"/>
    <x v="1"/>
    <n v="70"/>
    <n v="3"/>
    <x v="0"/>
    <s v="Laboratory Technician"/>
    <n v="2"/>
    <s v="Single"/>
    <x v="771"/>
    <n v="8770"/>
    <n v="9"/>
    <s v="Y"/>
    <x v="1"/>
    <n v="15"/>
    <n v="3"/>
    <n v="3"/>
    <x v="0"/>
    <n v="0"/>
    <n v="9"/>
    <n v="2"/>
    <n v="2"/>
    <n v="5"/>
    <n v="4"/>
    <x v="0"/>
    <n v="3"/>
  </r>
  <r>
    <n v="36"/>
    <x v="1"/>
    <x v="2"/>
    <n v="217"/>
    <x v="1"/>
    <n v="18"/>
    <n v="4"/>
    <x v="0"/>
    <n v="1"/>
    <n v="1133"/>
    <n v="1"/>
    <x v="1"/>
    <n v="78"/>
    <n v="3"/>
    <x v="0"/>
    <s v="Manufacturing Director"/>
    <n v="4"/>
    <s v="Single"/>
    <x v="772"/>
    <n v="23238"/>
    <n v="2"/>
    <s v="Y"/>
    <x v="1"/>
    <n v="20"/>
    <n v="4"/>
    <n v="1"/>
    <x v="0"/>
    <n v="0"/>
    <n v="18"/>
    <n v="0"/>
    <n v="3"/>
    <n v="11"/>
    <n v="9"/>
    <x v="0"/>
    <n v="9"/>
  </r>
  <r>
    <n v="31"/>
    <x v="1"/>
    <x v="1"/>
    <n v="793"/>
    <x v="0"/>
    <n v="20"/>
    <n v="3"/>
    <x v="0"/>
    <n v="1"/>
    <n v="1135"/>
    <n v="3"/>
    <x v="1"/>
    <n v="67"/>
    <n v="4"/>
    <x v="1"/>
    <s v="Sales Representative"/>
    <n v="4"/>
    <s v="Married"/>
    <x v="773"/>
    <n v="21981"/>
    <n v="0"/>
    <s v="Y"/>
    <x v="1"/>
    <n v="12"/>
    <n v="3"/>
    <n v="1"/>
    <x v="0"/>
    <n v="1"/>
    <n v="3"/>
    <n v="4"/>
    <n v="3"/>
    <n v="2"/>
    <n v="2"/>
    <x v="3"/>
    <n v="2"/>
  </r>
  <r>
    <n v="28"/>
    <x v="1"/>
    <x v="0"/>
    <n v="1451"/>
    <x v="1"/>
    <n v="2"/>
    <n v="1"/>
    <x v="0"/>
    <n v="1"/>
    <n v="1136"/>
    <n v="1"/>
    <x v="1"/>
    <n v="67"/>
    <n v="2"/>
    <x v="1"/>
    <s v="Research Scientist"/>
    <n v="2"/>
    <s v="Married"/>
    <x v="774"/>
    <n v="19911"/>
    <n v="0"/>
    <s v="Y"/>
    <x v="1"/>
    <n v="17"/>
    <n v="3"/>
    <n v="1"/>
    <x v="0"/>
    <n v="0"/>
    <n v="6"/>
    <n v="2"/>
    <n v="1"/>
    <n v="5"/>
    <n v="3"/>
    <x v="0"/>
    <n v="4"/>
  </r>
  <r>
    <n v="35"/>
    <x v="1"/>
    <x v="1"/>
    <n v="1182"/>
    <x v="0"/>
    <n v="11"/>
    <n v="2"/>
    <x v="3"/>
    <n v="1"/>
    <n v="1137"/>
    <n v="4"/>
    <x v="1"/>
    <n v="54"/>
    <n v="3"/>
    <x v="0"/>
    <s v="Sales Executive"/>
    <n v="4"/>
    <s v="Divorced"/>
    <x v="775"/>
    <n v="18500"/>
    <n v="1"/>
    <s v="Y"/>
    <x v="1"/>
    <n v="11"/>
    <n v="3"/>
    <n v="4"/>
    <x v="0"/>
    <n v="1"/>
    <n v="5"/>
    <n v="3"/>
    <n v="3"/>
    <n v="5"/>
    <n v="2"/>
    <x v="0"/>
    <n v="2"/>
  </r>
  <r>
    <n v="49"/>
    <x v="1"/>
    <x v="0"/>
    <n v="174"/>
    <x v="0"/>
    <n v="8"/>
    <n v="4"/>
    <x v="4"/>
    <n v="1"/>
    <n v="1138"/>
    <n v="4"/>
    <x v="1"/>
    <n v="56"/>
    <n v="2"/>
    <x v="3"/>
    <s v="Sales Executive"/>
    <n v="2"/>
    <s v="Married"/>
    <x v="776"/>
    <n v="11879"/>
    <n v="6"/>
    <s v="Y"/>
    <x v="1"/>
    <n v="17"/>
    <n v="3"/>
    <n v="2"/>
    <x v="0"/>
    <n v="1"/>
    <n v="22"/>
    <n v="3"/>
    <n v="3"/>
    <n v="9"/>
    <n v="8"/>
    <x v="3"/>
    <n v="3"/>
  </r>
  <r>
    <n v="34"/>
    <x v="1"/>
    <x v="1"/>
    <n v="1003"/>
    <x v="1"/>
    <n v="2"/>
    <n v="2"/>
    <x v="0"/>
    <n v="1"/>
    <n v="1140"/>
    <n v="4"/>
    <x v="1"/>
    <n v="95"/>
    <n v="3"/>
    <x v="0"/>
    <s v="Manufacturing Director"/>
    <n v="3"/>
    <s v="Single"/>
    <x v="777"/>
    <n v="15834"/>
    <n v="2"/>
    <s v="Y"/>
    <x v="1"/>
    <n v="11"/>
    <n v="3"/>
    <n v="4"/>
    <x v="0"/>
    <n v="0"/>
    <n v="5"/>
    <n v="3"/>
    <n v="2"/>
    <n v="3"/>
    <n v="2"/>
    <x v="0"/>
    <n v="2"/>
  </r>
  <r>
    <n v="29"/>
    <x v="1"/>
    <x v="1"/>
    <n v="490"/>
    <x v="1"/>
    <n v="10"/>
    <n v="3"/>
    <x v="0"/>
    <n v="1"/>
    <n v="1143"/>
    <n v="4"/>
    <x v="0"/>
    <n v="61"/>
    <n v="3"/>
    <x v="1"/>
    <s v="Research Scientist"/>
    <n v="2"/>
    <s v="Divorced"/>
    <x v="778"/>
    <n v="17940"/>
    <n v="0"/>
    <s v="Y"/>
    <x v="1"/>
    <n v="14"/>
    <n v="3"/>
    <n v="4"/>
    <x v="0"/>
    <n v="2"/>
    <n v="8"/>
    <n v="2"/>
    <n v="2"/>
    <n v="7"/>
    <n v="5"/>
    <x v="1"/>
    <n v="1"/>
  </r>
  <r>
    <n v="42"/>
    <x v="1"/>
    <x v="0"/>
    <n v="188"/>
    <x v="1"/>
    <n v="29"/>
    <n v="3"/>
    <x v="2"/>
    <n v="1"/>
    <n v="1148"/>
    <n v="2"/>
    <x v="1"/>
    <n v="56"/>
    <n v="1"/>
    <x v="0"/>
    <s v="Laboratory Technician"/>
    <n v="4"/>
    <s v="Single"/>
    <x v="779"/>
    <n v="9558"/>
    <n v="4"/>
    <s v="Y"/>
    <x v="1"/>
    <n v="19"/>
    <n v="3"/>
    <n v="1"/>
    <x v="0"/>
    <n v="0"/>
    <n v="16"/>
    <n v="3"/>
    <n v="3"/>
    <n v="1"/>
    <n v="0"/>
    <x v="0"/>
    <n v="0"/>
  </r>
  <r>
    <n v="29"/>
    <x v="1"/>
    <x v="0"/>
    <n v="718"/>
    <x v="1"/>
    <n v="8"/>
    <n v="1"/>
    <x v="2"/>
    <n v="1"/>
    <n v="1150"/>
    <n v="2"/>
    <x v="1"/>
    <n v="79"/>
    <n v="2"/>
    <x v="0"/>
    <s v="Manufacturing Director"/>
    <n v="4"/>
    <s v="Married"/>
    <x v="780"/>
    <n v="17689"/>
    <n v="1"/>
    <s v="Y"/>
    <x v="0"/>
    <n v="15"/>
    <n v="3"/>
    <n v="3"/>
    <x v="0"/>
    <n v="1"/>
    <n v="10"/>
    <n v="2"/>
    <n v="2"/>
    <n v="10"/>
    <n v="7"/>
    <x v="1"/>
    <n v="2"/>
  </r>
  <r>
    <n v="38"/>
    <x v="1"/>
    <x v="0"/>
    <n v="433"/>
    <x v="2"/>
    <n v="1"/>
    <n v="3"/>
    <x v="5"/>
    <n v="1"/>
    <n v="1152"/>
    <n v="3"/>
    <x v="1"/>
    <n v="37"/>
    <n v="4"/>
    <x v="1"/>
    <s v="Human Resources"/>
    <n v="3"/>
    <s v="Married"/>
    <x v="781"/>
    <n v="6004"/>
    <n v="1"/>
    <s v="Y"/>
    <x v="1"/>
    <n v="13"/>
    <n v="3"/>
    <n v="4"/>
    <x v="0"/>
    <n v="1"/>
    <n v="7"/>
    <n v="2"/>
    <n v="4"/>
    <n v="7"/>
    <n v="6"/>
    <x v="8"/>
    <n v="0"/>
  </r>
  <r>
    <n v="28"/>
    <x v="1"/>
    <x v="1"/>
    <n v="773"/>
    <x v="1"/>
    <n v="6"/>
    <n v="3"/>
    <x v="0"/>
    <n v="1"/>
    <n v="1154"/>
    <n v="3"/>
    <x v="1"/>
    <n v="39"/>
    <n v="2"/>
    <x v="1"/>
    <s v="Research Scientist"/>
    <n v="3"/>
    <s v="Divorced"/>
    <x v="68"/>
    <n v="22088"/>
    <n v="1"/>
    <s v="Y"/>
    <x v="0"/>
    <n v="14"/>
    <n v="3"/>
    <n v="4"/>
    <x v="0"/>
    <n v="1"/>
    <n v="3"/>
    <n v="2"/>
    <n v="3"/>
    <n v="3"/>
    <n v="1"/>
    <x v="0"/>
    <n v="2"/>
  </r>
  <r>
    <n v="18"/>
    <x v="0"/>
    <x v="2"/>
    <n v="247"/>
    <x v="1"/>
    <n v="8"/>
    <n v="1"/>
    <x v="2"/>
    <n v="1"/>
    <n v="1156"/>
    <n v="3"/>
    <x v="1"/>
    <n v="80"/>
    <n v="3"/>
    <x v="1"/>
    <s v="Laboratory Technician"/>
    <n v="3"/>
    <s v="Single"/>
    <x v="782"/>
    <n v="13556"/>
    <n v="1"/>
    <s v="Y"/>
    <x v="1"/>
    <n v="12"/>
    <n v="3"/>
    <n v="4"/>
    <x v="0"/>
    <n v="0"/>
    <n v="0"/>
    <n v="0"/>
    <n v="3"/>
    <n v="0"/>
    <n v="0"/>
    <x v="0"/>
    <n v="0"/>
  </r>
  <r>
    <n v="33"/>
    <x v="0"/>
    <x v="0"/>
    <n v="603"/>
    <x v="0"/>
    <n v="9"/>
    <n v="4"/>
    <x v="3"/>
    <n v="1"/>
    <n v="1157"/>
    <n v="1"/>
    <x v="0"/>
    <n v="77"/>
    <n v="3"/>
    <x v="0"/>
    <s v="Sales Executive"/>
    <n v="1"/>
    <s v="Single"/>
    <x v="783"/>
    <n v="18385"/>
    <n v="0"/>
    <s v="Y"/>
    <x v="0"/>
    <n v="17"/>
    <n v="3"/>
    <n v="1"/>
    <x v="0"/>
    <n v="0"/>
    <n v="6"/>
    <n v="3"/>
    <n v="3"/>
    <n v="5"/>
    <n v="2"/>
    <x v="0"/>
    <n v="3"/>
  </r>
  <r>
    <n v="41"/>
    <x v="1"/>
    <x v="0"/>
    <n v="167"/>
    <x v="1"/>
    <n v="12"/>
    <n v="4"/>
    <x v="0"/>
    <n v="1"/>
    <n v="1158"/>
    <n v="2"/>
    <x v="1"/>
    <n v="46"/>
    <n v="3"/>
    <x v="1"/>
    <s v="Laboratory Technician"/>
    <n v="4"/>
    <s v="Married"/>
    <x v="784"/>
    <n v="9051"/>
    <n v="3"/>
    <s v="Y"/>
    <x v="0"/>
    <n v="11"/>
    <n v="3"/>
    <n v="1"/>
    <x v="0"/>
    <n v="1"/>
    <n v="6"/>
    <n v="4"/>
    <n v="3"/>
    <n v="1"/>
    <n v="0"/>
    <x v="0"/>
    <n v="0"/>
  </r>
  <r>
    <n v="31"/>
    <x v="0"/>
    <x v="1"/>
    <n v="874"/>
    <x v="1"/>
    <n v="15"/>
    <n v="3"/>
    <x v="2"/>
    <n v="1"/>
    <n v="1160"/>
    <n v="3"/>
    <x v="1"/>
    <n v="72"/>
    <n v="3"/>
    <x v="1"/>
    <s v="Laboratory Technician"/>
    <n v="3"/>
    <s v="Married"/>
    <x v="353"/>
    <n v="6233"/>
    <n v="1"/>
    <s v="Y"/>
    <x v="1"/>
    <n v="12"/>
    <n v="3"/>
    <n v="3"/>
    <x v="0"/>
    <n v="1"/>
    <n v="2"/>
    <n v="5"/>
    <n v="2"/>
    <n v="2"/>
    <n v="2"/>
    <x v="3"/>
    <n v="2"/>
  </r>
  <r>
    <n v="37"/>
    <x v="1"/>
    <x v="0"/>
    <n v="367"/>
    <x v="1"/>
    <n v="25"/>
    <n v="2"/>
    <x v="2"/>
    <n v="1"/>
    <n v="1161"/>
    <n v="3"/>
    <x v="0"/>
    <n v="52"/>
    <n v="2"/>
    <x v="0"/>
    <s v="Healthcare Representative"/>
    <n v="4"/>
    <s v="Divorced"/>
    <x v="785"/>
    <n v="17171"/>
    <n v="7"/>
    <s v="Y"/>
    <x v="1"/>
    <n v="13"/>
    <n v="3"/>
    <n v="3"/>
    <x v="0"/>
    <n v="2"/>
    <n v="9"/>
    <n v="2"/>
    <n v="3"/>
    <n v="6"/>
    <n v="2"/>
    <x v="1"/>
    <n v="3"/>
  </r>
  <r>
    <n v="27"/>
    <x v="1"/>
    <x v="0"/>
    <n v="199"/>
    <x v="1"/>
    <n v="6"/>
    <n v="3"/>
    <x v="0"/>
    <n v="1"/>
    <n v="1162"/>
    <n v="4"/>
    <x v="1"/>
    <n v="55"/>
    <n v="2"/>
    <x v="1"/>
    <s v="Research Scientist"/>
    <n v="3"/>
    <s v="Married"/>
    <x v="786"/>
    <n v="7950"/>
    <n v="1"/>
    <s v="Y"/>
    <x v="1"/>
    <n v="13"/>
    <n v="3"/>
    <n v="3"/>
    <x v="0"/>
    <n v="1"/>
    <n v="4"/>
    <n v="0"/>
    <n v="3"/>
    <n v="4"/>
    <n v="2"/>
    <x v="3"/>
    <n v="2"/>
  </r>
  <r>
    <n v="34"/>
    <x v="1"/>
    <x v="0"/>
    <n v="1400"/>
    <x v="0"/>
    <n v="9"/>
    <n v="1"/>
    <x v="0"/>
    <n v="1"/>
    <n v="1163"/>
    <n v="2"/>
    <x v="0"/>
    <n v="70"/>
    <n v="3"/>
    <x v="0"/>
    <s v="Sales Executive"/>
    <n v="3"/>
    <s v="Married"/>
    <x v="787"/>
    <n v="5829"/>
    <n v="1"/>
    <s v="Y"/>
    <x v="1"/>
    <n v="20"/>
    <n v="4"/>
    <n v="1"/>
    <x v="0"/>
    <n v="0"/>
    <n v="6"/>
    <n v="3"/>
    <n v="2"/>
    <n v="6"/>
    <n v="5"/>
    <x v="1"/>
    <n v="3"/>
  </r>
  <r>
    <n v="35"/>
    <x v="1"/>
    <x v="0"/>
    <n v="528"/>
    <x v="2"/>
    <n v="8"/>
    <n v="4"/>
    <x v="4"/>
    <n v="1"/>
    <n v="1164"/>
    <n v="3"/>
    <x v="1"/>
    <n v="100"/>
    <n v="3"/>
    <x v="1"/>
    <s v="Human Resources"/>
    <n v="3"/>
    <s v="Single"/>
    <x v="788"/>
    <n v="7108"/>
    <n v="1"/>
    <s v="Y"/>
    <x v="1"/>
    <n v="17"/>
    <n v="3"/>
    <n v="2"/>
    <x v="0"/>
    <n v="0"/>
    <n v="6"/>
    <n v="2"/>
    <n v="1"/>
    <n v="5"/>
    <n v="4"/>
    <x v="1"/>
    <n v="4"/>
  </r>
  <r>
    <n v="29"/>
    <x v="0"/>
    <x v="0"/>
    <n v="408"/>
    <x v="0"/>
    <n v="23"/>
    <n v="1"/>
    <x v="0"/>
    <n v="1"/>
    <n v="1165"/>
    <n v="4"/>
    <x v="0"/>
    <n v="45"/>
    <n v="2"/>
    <x v="2"/>
    <s v="Sales Executive"/>
    <n v="1"/>
    <s v="Married"/>
    <x v="789"/>
    <n v="11162"/>
    <n v="1"/>
    <s v="Y"/>
    <x v="1"/>
    <n v="13"/>
    <n v="3"/>
    <n v="1"/>
    <x v="0"/>
    <n v="1"/>
    <n v="11"/>
    <n v="3"/>
    <n v="1"/>
    <n v="11"/>
    <n v="8"/>
    <x v="2"/>
    <n v="10"/>
  </r>
  <r>
    <n v="40"/>
    <x v="1"/>
    <x v="1"/>
    <n v="593"/>
    <x v="1"/>
    <n v="9"/>
    <n v="4"/>
    <x v="2"/>
    <n v="1"/>
    <n v="1166"/>
    <n v="2"/>
    <x v="0"/>
    <n v="88"/>
    <n v="3"/>
    <x v="2"/>
    <s v="Research Director"/>
    <n v="3"/>
    <s v="Single"/>
    <x v="790"/>
    <n v="13782"/>
    <n v="9"/>
    <s v="Y"/>
    <x v="1"/>
    <n v="17"/>
    <n v="3"/>
    <n v="3"/>
    <x v="0"/>
    <n v="0"/>
    <n v="20"/>
    <n v="3"/>
    <n v="2"/>
    <n v="18"/>
    <n v="7"/>
    <x v="3"/>
    <n v="13"/>
  </r>
  <r>
    <n v="42"/>
    <x v="0"/>
    <x v="1"/>
    <n v="481"/>
    <x v="0"/>
    <n v="12"/>
    <n v="3"/>
    <x v="0"/>
    <n v="1"/>
    <n v="1167"/>
    <n v="3"/>
    <x v="1"/>
    <n v="44"/>
    <n v="3"/>
    <x v="3"/>
    <s v="Sales Executive"/>
    <n v="1"/>
    <s v="Single"/>
    <x v="791"/>
    <n v="2447"/>
    <n v="0"/>
    <s v="Y"/>
    <x v="0"/>
    <n v="12"/>
    <n v="3"/>
    <n v="2"/>
    <x v="0"/>
    <n v="0"/>
    <n v="22"/>
    <n v="2"/>
    <n v="2"/>
    <n v="21"/>
    <n v="9"/>
    <x v="11"/>
    <n v="14"/>
  </r>
  <r>
    <n v="42"/>
    <x v="1"/>
    <x v="0"/>
    <n v="647"/>
    <x v="0"/>
    <n v="4"/>
    <n v="4"/>
    <x v="3"/>
    <n v="1"/>
    <n v="1171"/>
    <n v="2"/>
    <x v="1"/>
    <n v="45"/>
    <n v="3"/>
    <x v="0"/>
    <s v="Sales Executive"/>
    <n v="1"/>
    <s v="Single"/>
    <x v="792"/>
    <n v="2253"/>
    <n v="7"/>
    <s v="Y"/>
    <x v="1"/>
    <n v="13"/>
    <n v="3"/>
    <n v="4"/>
    <x v="0"/>
    <n v="0"/>
    <n v="9"/>
    <n v="3"/>
    <n v="4"/>
    <n v="6"/>
    <n v="4"/>
    <x v="1"/>
    <n v="5"/>
  </r>
  <r>
    <n v="35"/>
    <x v="1"/>
    <x v="0"/>
    <n v="982"/>
    <x v="1"/>
    <n v="1"/>
    <n v="4"/>
    <x v="2"/>
    <n v="1"/>
    <n v="1172"/>
    <n v="4"/>
    <x v="1"/>
    <n v="58"/>
    <n v="2"/>
    <x v="1"/>
    <s v="Laboratory Technician"/>
    <n v="3"/>
    <s v="Married"/>
    <x v="384"/>
    <n v="16340"/>
    <n v="6"/>
    <s v="Y"/>
    <x v="1"/>
    <n v="12"/>
    <n v="3"/>
    <n v="2"/>
    <x v="0"/>
    <n v="1"/>
    <n v="10"/>
    <n v="2"/>
    <n v="3"/>
    <n v="8"/>
    <n v="0"/>
    <x v="1"/>
    <n v="7"/>
  </r>
  <r>
    <n v="24"/>
    <x v="1"/>
    <x v="0"/>
    <n v="477"/>
    <x v="1"/>
    <n v="24"/>
    <n v="3"/>
    <x v="2"/>
    <n v="1"/>
    <n v="1173"/>
    <n v="4"/>
    <x v="1"/>
    <n v="49"/>
    <n v="3"/>
    <x v="1"/>
    <s v="Laboratory Technician"/>
    <n v="2"/>
    <s v="Single"/>
    <x v="793"/>
    <n v="6409"/>
    <n v="8"/>
    <s v="Y"/>
    <x v="1"/>
    <n v="22"/>
    <n v="4"/>
    <n v="4"/>
    <x v="0"/>
    <n v="0"/>
    <n v="6"/>
    <n v="2"/>
    <n v="3"/>
    <n v="4"/>
    <n v="3"/>
    <x v="1"/>
    <n v="2"/>
  </r>
  <r>
    <n v="28"/>
    <x v="0"/>
    <x v="0"/>
    <n v="1485"/>
    <x v="1"/>
    <n v="12"/>
    <n v="1"/>
    <x v="0"/>
    <n v="1"/>
    <n v="1175"/>
    <n v="3"/>
    <x v="0"/>
    <n v="79"/>
    <n v="3"/>
    <x v="1"/>
    <s v="Laboratory Technician"/>
    <n v="4"/>
    <s v="Married"/>
    <x v="605"/>
    <n v="22955"/>
    <n v="1"/>
    <s v="Y"/>
    <x v="0"/>
    <n v="11"/>
    <n v="3"/>
    <n v="4"/>
    <x v="0"/>
    <n v="0"/>
    <n v="1"/>
    <n v="4"/>
    <n v="2"/>
    <n v="1"/>
    <n v="1"/>
    <x v="0"/>
    <n v="0"/>
  </r>
  <r>
    <n v="26"/>
    <x v="1"/>
    <x v="0"/>
    <n v="1384"/>
    <x v="1"/>
    <n v="3"/>
    <n v="4"/>
    <x v="2"/>
    <n v="1"/>
    <n v="1177"/>
    <n v="1"/>
    <x v="1"/>
    <n v="82"/>
    <n v="4"/>
    <x v="1"/>
    <s v="Laboratory Technician"/>
    <n v="4"/>
    <s v="Married"/>
    <x v="794"/>
    <n v="13421"/>
    <n v="1"/>
    <s v="Y"/>
    <x v="1"/>
    <n v="22"/>
    <n v="4"/>
    <n v="2"/>
    <x v="0"/>
    <n v="1"/>
    <n v="8"/>
    <n v="2"/>
    <n v="3"/>
    <n v="8"/>
    <n v="7"/>
    <x v="0"/>
    <n v="7"/>
  </r>
  <r>
    <n v="30"/>
    <x v="1"/>
    <x v="0"/>
    <n v="852"/>
    <x v="0"/>
    <n v="10"/>
    <n v="3"/>
    <x v="3"/>
    <n v="1"/>
    <n v="1179"/>
    <n v="3"/>
    <x v="1"/>
    <n v="72"/>
    <n v="2"/>
    <x v="0"/>
    <s v="Sales Executive"/>
    <n v="3"/>
    <s v="Married"/>
    <x v="795"/>
    <n v="2706"/>
    <n v="1"/>
    <s v="Y"/>
    <x v="1"/>
    <n v="18"/>
    <n v="3"/>
    <n v="1"/>
    <x v="0"/>
    <n v="1"/>
    <n v="10"/>
    <n v="3"/>
    <n v="3"/>
    <n v="10"/>
    <n v="3"/>
    <x v="1"/>
    <n v="4"/>
  </r>
  <r>
    <n v="40"/>
    <x v="1"/>
    <x v="1"/>
    <n v="902"/>
    <x v="1"/>
    <n v="26"/>
    <n v="2"/>
    <x v="2"/>
    <n v="1"/>
    <n v="1180"/>
    <n v="3"/>
    <x v="0"/>
    <n v="92"/>
    <n v="2"/>
    <x v="0"/>
    <s v="Research Scientist"/>
    <n v="4"/>
    <s v="Married"/>
    <x v="796"/>
    <n v="21203"/>
    <n v="3"/>
    <s v="Y"/>
    <x v="0"/>
    <n v="13"/>
    <n v="3"/>
    <n v="4"/>
    <x v="0"/>
    <n v="1"/>
    <n v="16"/>
    <n v="3"/>
    <n v="1"/>
    <n v="1"/>
    <n v="1"/>
    <x v="0"/>
    <n v="0"/>
  </r>
  <r>
    <n v="35"/>
    <x v="1"/>
    <x v="0"/>
    <n v="819"/>
    <x v="1"/>
    <n v="2"/>
    <n v="3"/>
    <x v="0"/>
    <n v="1"/>
    <n v="1182"/>
    <n v="3"/>
    <x v="1"/>
    <n v="44"/>
    <n v="2"/>
    <x v="2"/>
    <s v="Manufacturing Director"/>
    <n v="2"/>
    <s v="Divorced"/>
    <x v="797"/>
    <n v="19588"/>
    <n v="2"/>
    <s v="Y"/>
    <x v="1"/>
    <n v="18"/>
    <n v="3"/>
    <n v="2"/>
    <x v="0"/>
    <n v="1"/>
    <n v="15"/>
    <n v="2"/>
    <n v="4"/>
    <n v="7"/>
    <n v="7"/>
    <x v="7"/>
    <n v="4"/>
  </r>
  <r>
    <n v="34"/>
    <x v="1"/>
    <x v="1"/>
    <n v="669"/>
    <x v="1"/>
    <n v="1"/>
    <n v="3"/>
    <x v="2"/>
    <n v="1"/>
    <n v="1184"/>
    <n v="4"/>
    <x v="1"/>
    <n v="97"/>
    <n v="2"/>
    <x v="0"/>
    <s v="Healthcare Representative"/>
    <n v="1"/>
    <s v="Single"/>
    <x v="798"/>
    <n v="25755"/>
    <n v="0"/>
    <s v="Y"/>
    <x v="1"/>
    <n v="20"/>
    <n v="4"/>
    <n v="3"/>
    <x v="0"/>
    <n v="0"/>
    <n v="14"/>
    <n v="3"/>
    <n v="3"/>
    <n v="13"/>
    <n v="9"/>
    <x v="5"/>
    <n v="9"/>
  </r>
  <r>
    <n v="35"/>
    <x v="1"/>
    <x v="1"/>
    <n v="636"/>
    <x v="1"/>
    <n v="4"/>
    <n v="4"/>
    <x v="1"/>
    <n v="1"/>
    <n v="1185"/>
    <n v="4"/>
    <x v="1"/>
    <n v="47"/>
    <n v="2"/>
    <x v="1"/>
    <s v="Laboratory Technician"/>
    <n v="4"/>
    <s v="Married"/>
    <x v="799"/>
    <n v="26537"/>
    <n v="1"/>
    <s v="Y"/>
    <x v="1"/>
    <n v="13"/>
    <n v="3"/>
    <n v="2"/>
    <x v="0"/>
    <n v="1"/>
    <n v="2"/>
    <n v="2"/>
    <n v="4"/>
    <n v="2"/>
    <n v="2"/>
    <x v="3"/>
    <n v="2"/>
  </r>
  <r>
    <n v="43"/>
    <x v="0"/>
    <x v="0"/>
    <n v="1372"/>
    <x v="0"/>
    <n v="9"/>
    <n v="3"/>
    <x v="3"/>
    <n v="1"/>
    <n v="1188"/>
    <n v="1"/>
    <x v="0"/>
    <n v="85"/>
    <n v="1"/>
    <x v="0"/>
    <s v="Sales Executive"/>
    <n v="3"/>
    <s v="Single"/>
    <x v="800"/>
    <n v="9489"/>
    <n v="8"/>
    <s v="Y"/>
    <x v="1"/>
    <n v="13"/>
    <n v="3"/>
    <n v="2"/>
    <x v="0"/>
    <n v="0"/>
    <n v="7"/>
    <n v="2"/>
    <n v="2"/>
    <n v="4"/>
    <n v="3"/>
    <x v="1"/>
    <n v="3"/>
  </r>
  <r>
    <n v="32"/>
    <x v="1"/>
    <x v="2"/>
    <n v="862"/>
    <x v="0"/>
    <n v="2"/>
    <n v="1"/>
    <x v="0"/>
    <n v="1"/>
    <n v="1190"/>
    <n v="3"/>
    <x v="0"/>
    <n v="76"/>
    <n v="3"/>
    <x v="1"/>
    <s v="Sales Representative"/>
    <n v="1"/>
    <s v="Divorced"/>
    <x v="801"/>
    <n v="14947"/>
    <n v="1"/>
    <s v="Y"/>
    <x v="1"/>
    <n v="12"/>
    <n v="3"/>
    <n v="3"/>
    <x v="0"/>
    <n v="3"/>
    <n v="1"/>
    <n v="3"/>
    <n v="3"/>
    <n v="1"/>
    <n v="0"/>
    <x v="0"/>
    <n v="0"/>
  </r>
  <r>
    <n v="56"/>
    <x v="1"/>
    <x v="0"/>
    <n v="718"/>
    <x v="1"/>
    <n v="4"/>
    <n v="4"/>
    <x v="4"/>
    <n v="1"/>
    <n v="1191"/>
    <n v="4"/>
    <x v="0"/>
    <n v="92"/>
    <n v="3"/>
    <x v="4"/>
    <s v="Manager"/>
    <n v="1"/>
    <s v="Divorced"/>
    <x v="802"/>
    <n v="18575"/>
    <n v="4"/>
    <s v="Y"/>
    <x v="1"/>
    <n v="13"/>
    <n v="3"/>
    <n v="4"/>
    <x v="0"/>
    <n v="1"/>
    <n v="28"/>
    <n v="2"/>
    <n v="3"/>
    <n v="5"/>
    <n v="2"/>
    <x v="5"/>
    <n v="2"/>
  </r>
  <r>
    <n v="29"/>
    <x v="1"/>
    <x v="0"/>
    <n v="1401"/>
    <x v="1"/>
    <n v="6"/>
    <n v="1"/>
    <x v="2"/>
    <n v="1"/>
    <n v="1192"/>
    <n v="2"/>
    <x v="0"/>
    <n v="54"/>
    <n v="3"/>
    <x v="1"/>
    <s v="Laboratory Technician"/>
    <n v="4"/>
    <s v="Married"/>
    <x v="803"/>
    <n v="26342"/>
    <n v="1"/>
    <s v="Y"/>
    <x v="1"/>
    <n v="13"/>
    <n v="3"/>
    <n v="1"/>
    <x v="0"/>
    <n v="1"/>
    <n v="10"/>
    <n v="5"/>
    <n v="3"/>
    <n v="10"/>
    <n v="8"/>
    <x v="0"/>
    <n v="8"/>
  </r>
  <r>
    <n v="19"/>
    <x v="1"/>
    <x v="0"/>
    <n v="645"/>
    <x v="1"/>
    <n v="9"/>
    <n v="2"/>
    <x v="0"/>
    <n v="1"/>
    <n v="1193"/>
    <n v="3"/>
    <x v="1"/>
    <n v="54"/>
    <n v="3"/>
    <x v="1"/>
    <s v="Research Scientist"/>
    <n v="1"/>
    <s v="Single"/>
    <x v="804"/>
    <n v="7172"/>
    <n v="1"/>
    <s v="Y"/>
    <x v="1"/>
    <n v="25"/>
    <n v="4"/>
    <n v="3"/>
    <x v="0"/>
    <n v="0"/>
    <n v="1"/>
    <n v="4"/>
    <n v="3"/>
    <n v="1"/>
    <n v="1"/>
    <x v="0"/>
    <n v="0"/>
  </r>
  <r>
    <n v="45"/>
    <x v="1"/>
    <x v="0"/>
    <n v="1457"/>
    <x v="1"/>
    <n v="7"/>
    <n v="3"/>
    <x v="2"/>
    <n v="1"/>
    <n v="1195"/>
    <n v="1"/>
    <x v="0"/>
    <n v="83"/>
    <n v="3"/>
    <x v="1"/>
    <s v="Research Scientist"/>
    <n v="3"/>
    <s v="Married"/>
    <x v="805"/>
    <n v="20100"/>
    <n v="4"/>
    <s v="Y"/>
    <x v="0"/>
    <n v="19"/>
    <n v="3"/>
    <n v="3"/>
    <x v="0"/>
    <n v="1"/>
    <n v="7"/>
    <n v="2"/>
    <n v="2"/>
    <n v="3"/>
    <n v="2"/>
    <x v="0"/>
    <n v="2"/>
  </r>
  <r>
    <n v="37"/>
    <x v="1"/>
    <x v="0"/>
    <n v="977"/>
    <x v="1"/>
    <n v="1"/>
    <n v="3"/>
    <x v="0"/>
    <n v="1"/>
    <n v="1196"/>
    <n v="4"/>
    <x v="0"/>
    <n v="56"/>
    <n v="2"/>
    <x v="0"/>
    <s v="Manufacturing Director"/>
    <n v="4"/>
    <s v="Married"/>
    <x v="806"/>
    <n v="9961"/>
    <n v="1"/>
    <s v="Y"/>
    <x v="1"/>
    <n v="13"/>
    <n v="3"/>
    <n v="2"/>
    <x v="0"/>
    <n v="1"/>
    <n v="14"/>
    <n v="2"/>
    <n v="2"/>
    <n v="14"/>
    <n v="8"/>
    <x v="2"/>
    <n v="11"/>
  </r>
  <r>
    <n v="20"/>
    <x v="1"/>
    <x v="0"/>
    <n v="805"/>
    <x v="1"/>
    <n v="3"/>
    <n v="3"/>
    <x v="0"/>
    <n v="1"/>
    <n v="1198"/>
    <n v="1"/>
    <x v="1"/>
    <n v="87"/>
    <n v="2"/>
    <x v="1"/>
    <s v="Laboratory Technician"/>
    <n v="3"/>
    <s v="Single"/>
    <x v="807"/>
    <n v="12828"/>
    <n v="1"/>
    <s v="Y"/>
    <x v="1"/>
    <n v="12"/>
    <n v="3"/>
    <n v="1"/>
    <x v="0"/>
    <n v="0"/>
    <n v="2"/>
    <n v="2"/>
    <n v="2"/>
    <n v="2"/>
    <n v="2"/>
    <x v="1"/>
    <n v="2"/>
  </r>
  <r>
    <n v="44"/>
    <x v="0"/>
    <x v="0"/>
    <n v="1097"/>
    <x v="1"/>
    <n v="10"/>
    <n v="4"/>
    <x v="0"/>
    <n v="1"/>
    <n v="1200"/>
    <n v="3"/>
    <x v="1"/>
    <n v="96"/>
    <n v="3"/>
    <x v="1"/>
    <s v="Research Scientist"/>
    <n v="3"/>
    <s v="Single"/>
    <x v="808"/>
    <n v="10826"/>
    <n v="1"/>
    <s v="Y"/>
    <x v="0"/>
    <n v="11"/>
    <n v="3"/>
    <n v="3"/>
    <x v="0"/>
    <n v="0"/>
    <n v="6"/>
    <n v="4"/>
    <n v="3"/>
    <n v="6"/>
    <n v="4"/>
    <x v="0"/>
    <n v="2"/>
  </r>
  <r>
    <n v="53"/>
    <x v="1"/>
    <x v="0"/>
    <n v="1223"/>
    <x v="1"/>
    <n v="7"/>
    <n v="2"/>
    <x v="2"/>
    <n v="1"/>
    <n v="1201"/>
    <n v="4"/>
    <x v="0"/>
    <n v="50"/>
    <n v="3"/>
    <x v="4"/>
    <s v="Manager"/>
    <n v="3"/>
    <s v="Divorced"/>
    <x v="809"/>
    <n v="18640"/>
    <n v="3"/>
    <s v="Y"/>
    <x v="1"/>
    <n v="18"/>
    <n v="3"/>
    <n v="2"/>
    <x v="0"/>
    <n v="1"/>
    <n v="26"/>
    <n v="6"/>
    <n v="3"/>
    <n v="7"/>
    <n v="7"/>
    <x v="5"/>
    <n v="7"/>
  </r>
  <r>
    <n v="29"/>
    <x v="1"/>
    <x v="0"/>
    <n v="942"/>
    <x v="1"/>
    <n v="15"/>
    <n v="1"/>
    <x v="0"/>
    <n v="1"/>
    <n v="1202"/>
    <n v="2"/>
    <x v="0"/>
    <n v="69"/>
    <n v="1"/>
    <x v="1"/>
    <s v="Research Scientist"/>
    <n v="4"/>
    <s v="Married"/>
    <x v="810"/>
    <n v="26933"/>
    <n v="0"/>
    <s v="Y"/>
    <x v="0"/>
    <n v="18"/>
    <n v="3"/>
    <n v="1"/>
    <x v="0"/>
    <n v="1"/>
    <n v="6"/>
    <n v="2"/>
    <n v="2"/>
    <n v="5"/>
    <n v="4"/>
    <x v="1"/>
    <n v="3"/>
  </r>
  <r>
    <n v="22"/>
    <x v="0"/>
    <x v="1"/>
    <n v="1256"/>
    <x v="1"/>
    <n v="3"/>
    <n v="4"/>
    <x v="0"/>
    <n v="1"/>
    <n v="1203"/>
    <n v="3"/>
    <x v="1"/>
    <n v="48"/>
    <n v="2"/>
    <x v="1"/>
    <s v="Research Scientist"/>
    <n v="4"/>
    <s v="Married"/>
    <x v="811"/>
    <n v="4223"/>
    <n v="0"/>
    <s v="Y"/>
    <x v="0"/>
    <n v="11"/>
    <n v="3"/>
    <n v="2"/>
    <x v="0"/>
    <n v="1"/>
    <n v="1"/>
    <n v="5"/>
    <n v="3"/>
    <n v="0"/>
    <n v="0"/>
    <x v="0"/>
    <n v="0"/>
  </r>
  <r>
    <n v="46"/>
    <x v="1"/>
    <x v="0"/>
    <n v="1402"/>
    <x v="0"/>
    <n v="2"/>
    <n v="3"/>
    <x v="3"/>
    <n v="1"/>
    <n v="1204"/>
    <n v="3"/>
    <x v="0"/>
    <n v="69"/>
    <n v="3"/>
    <x v="3"/>
    <s v="Manager"/>
    <n v="1"/>
    <s v="Married"/>
    <x v="812"/>
    <n v="24097"/>
    <n v="8"/>
    <s v="Y"/>
    <x v="1"/>
    <n v="23"/>
    <n v="4"/>
    <n v="1"/>
    <x v="0"/>
    <n v="0"/>
    <n v="28"/>
    <n v="2"/>
    <n v="3"/>
    <n v="26"/>
    <n v="15"/>
    <x v="9"/>
    <n v="9"/>
  </r>
  <r>
    <n v="44"/>
    <x v="1"/>
    <x v="2"/>
    <n v="111"/>
    <x v="1"/>
    <n v="17"/>
    <n v="3"/>
    <x v="0"/>
    <n v="1"/>
    <n v="1206"/>
    <n v="4"/>
    <x v="1"/>
    <n v="74"/>
    <n v="1"/>
    <x v="1"/>
    <s v="Research Scientist"/>
    <n v="3"/>
    <s v="Single"/>
    <x v="813"/>
    <n v="4279"/>
    <n v="2"/>
    <s v="Y"/>
    <x v="1"/>
    <n v="13"/>
    <n v="3"/>
    <n v="4"/>
    <x v="0"/>
    <n v="0"/>
    <n v="6"/>
    <n v="3"/>
    <n v="3"/>
    <n v="0"/>
    <n v="0"/>
    <x v="0"/>
    <n v="0"/>
  </r>
  <r>
    <n v="33"/>
    <x v="1"/>
    <x v="0"/>
    <n v="147"/>
    <x v="2"/>
    <n v="2"/>
    <n v="3"/>
    <x v="5"/>
    <n v="1"/>
    <n v="1207"/>
    <n v="2"/>
    <x v="1"/>
    <n v="99"/>
    <n v="3"/>
    <x v="1"/>
    <s v="Human Resources"/>
    <n v="3"/>
    <s v="Married"/>
    <x v="814"/>
    <n v="8429"/>
    <n v="1"/>
    <s v="Y"/>
    <x v="1"/>
    <n v="13"/>
    <n v="3"/>
    <n v="4"/>
    <x v="0"/>
    <n v="1"/>
    <n v="5"/>
    <n v="2"/>
    <n v="3"/>
    <n v="5"/>
    <n v="4"/>
    <x v="1"/>
    <n v="4"/>
  </r>
  <r>
    <n v="41"/>
    <x v="0"/>
    <x v="2"/>
    <n v="906"/>
    <x v="1"/>
    <n v="5"/>
    <n v="2"/>
    <x v="0"/>
    <n v="1"/>
    <n v="1210"/>
    <n v="1"/>
    <x v="1"/>
    <n v="95"/>
    <n v="2"/>
    <x v="1"/>
    <s v="Research Scientist"/>
    <n v="1"/>
    <s v="Divorced"/>
    <x v="815"/>
    <n v="20293"/>
    <n v="6"/>
    <s v="Y"/>
    <x v="1"/>
    <n v="17"/>
    <n v="3"/>
    <n v="1"/>
    <x v="0"/>
    <n v="1"/>
    <n v="5"/>
    <n v="2"/>
    <n v="1"/>
    <n v="1"/>
    <n v="0"/>
    <x v="0"/>
    <n v="0"/>
  </r>
  <r>
    <n v="30"/>
    <x v="1"/>
    <x v="0"/>
    <n v="1329"/>
    <x v="0"/>
    <n v="29"/>
    <n v="4"/>
    <x v="0"/>
    <n v="1"/>
    <n v="1211"/>
    <n v="3"/>
    <x v="1"/>
    <n v="61"/>
    <n v="3"/>
    <x v="0"/>
    <s v="Sales Executive"/>
    <n v="1"/>
    <s v="Divorced"/>
    <x v="816"/>
    <n v="13192"/>
    <n v="8"/>
    <s v="Y"/>
    <x v="1"/>
    <n v="19"/>
    <n v="3"/>
    <n v="3"/>
    <x v="0"/>
    <n v="3"/>
    <n v="8"/>
    <n v="3"/>
    <n v="3"/>
    <n v="4"/>
    <n v="3"/>
    <x v="0"/>
    <n v="3"/>
  </r>
  <r>
    <n v="40"/>
    <x v="1"/>
    <x v="1"/>
    <n v="1184"/>
    <x v="0"/>
    <n v="2"/>
    <n v="4"/>
    <x v="2"/>
    <n v="1"/>
    <n v="1212"/>
    <n v="2"/>
    <x v="1"/>
    <n v="62"/>
    <n v="3"/>
    <x v="0"/>
    <s v="Sales Executive"/>
    <n v="2"/>
    <s v="Married"/>
    <x v="817"/>
    <n v="25440"/>
    <n v="5"/>
    <s v="Y"/>
    <x v="1"/>
    <n v="12"/>
    <n v="3"/>
    <n v="4"/>
    <x v="0"/>
    <n v="3"/>
    <n v="5"/>
    <n v="2"/>
    <n v="3"/>
    <n v="0"/>
    <n v="0"/>
    <x v="0"/>
    <n v="0"/>
  </r>
  <r>
    <n v="50"/>
    <x v="1"/>
    <x v="1"/>
    <n v="1421"/>
    <x v="1"/>
    <n v="2"/>
    <n v="3"/>
    <x v="2"/>
    <n v="1"/>
    <n v="1215"/>
    <n v="4"/>
    <x v="0"/>
    <n v="30"/>
    <n v="3"/>
    <x v="3"/>
    <s v="Manager"/>
    <n v="1"/>
    <s v="Married"/>
    <x v="818"/>
    <n v="9490"/>
    <n v="2"/>
    <s v="Y"/>
    <x v="1"/>
    <n v="22"/>
    <n v="4"/>
    <n v="3"/>
    <x v="0"/>
    <n v="1"/>
    <n v="32"/>
    <n v="3"/>
    <n v="3"/>
    <n v="2"/>
    <n v="2"/>
    <x v="3"/>
    <n v="2"/>
  </r>
  <r>
    <n v="28"/>
    <x v="1"/>
    <x v="0"/>
    <n v="1179"/>
    <x v="1"/>
    <n v="19"/>
    <n v="4"/>
    <x v="2"/>
    <n v="1"/>
    <n v="1216"/>
    <n v="4"/>
    <x v="1"/>
    <n v="78"/>
    <n v="2"/>
    <x v="1"/>
    <s v="Laboratory Technician"/>
    <n v="1"/>
    <s v="Married"/>
    <x v="819"/>
    <n v="12449"/>
    <n v="1"/>
    <s v="Y"/>
    <x v="1"/>
    <n v="12"/>
    <n v="3"/>
    <n v="3"/>
    <x v="0"/>
    <n v="3"/>
    <n v="6"/>
    <n v="2"/>
    <n v="3"/>
    <n v="6"/>
    <n v="5"/>
    <x v="2"/>
    <n v="3"/>
  </r>
  <r>
    <n v="46"/>
    <x v="1"/>
    <x v="0"/>
    <n v="1450"/>
    <x v="1"/>
    <n v="15"/>
    <n v="2"/>
    <x v="0"/>
    <n v="1"/>
    <n v="1217"/>
    <n v="4"/>
    <x v="1"/>
    <n v="52"/>
    <n v="3"/>
    <x v="4"/>
    <s v="Research Director"/>
    <n v="2"/>
    <s v="Married"/>
    <x v="820"/>
    <n v="10849"/>
    <n v="5"/>
    <s v="Y"/>
    <x v="1"/>
    <n v="11"/>
    <n v="3"/>
    <n v="1"/>
    <x v="0"/>
    <n v="1"/>
    <n v="25"/>
    <n v="2"/>
    <n v="3"/>
    <n v="4"/>
    <n v="2"/>
    <x v="0"/>
    <n v="3"/>
  </r>
  <r>
    <n v="35"/>
    <x v="1"/>
    <x v="0"/>
    <n v="1361"/>
    <x v="0"/>
    <n v="17"/>
    <n v="4"/>
    <x v="0"/>
    <n v="1"/>
    <n v="1218"/>
    <n v="3"/>
    <x v="1"/>
    <n v="94"/>
    <n v="3"/>
    <x v="0"/>
    <s v="Sales Executive"/>
    <n v="1"/>
    <s v="Married"/>
    <x v="821"/>
    <n v="21026"/>
    <n v="3"/>
    <s v="Y"/>
    <x v="0"/>
    <n v="15"/>
    <n v="3"/>
    <n v="4"/>
    <x v="0"/>
    <n v="3"/>
    <n v="15"/>
    <n v="2"/>
    <n v="3"/>
    <n v="7"/>
    <n v="7"/>
    <x v="1"/>
    <n v="7"/>
  </r>
  <r>
    <n v="24"/>
    <x v="0"/>
    <x v="0"/>
    <n v="984"/>
    <x v="1"/>
    <n v="17"/>
    <n v="2"/>
    <x v="0"/>
    <n v="1"/>
    <n v="1219"/>
    <n v="4"/>
    <x v="0"/>
    <n v="97"/>
    <n v="3"/>
    <x v="1"/>
    <s v="Laboratory Technician"/>
    <n v="2"/>
    <s v="Married"/>
    <x v="822"/>
    <n v="3372"/>
    <n v="1"/>
    <s v="Y"/>
    <x v="1"/>
    <n v="13"/>
    <n v="3"/>
    <n v="1"/>
    <x v="0"/>
    <n v="1"/>
    <n v="1"/>
    <n v="3"/>
    <n v="1"/>
    <n v="1"/>
    <n v="0"/>
    <x v="0"/>
    <n v="0"/>
  </r>
  <r>
    <n v="33"/>
    <x v="1"/>
    <x v="1"/>
    <n v="1146"/>
    <x v="0"/>
    <n v="25"/>
    <n v="3"/>
    <x v="2"/>
    <n v="1"/>
    <n v="1220"/>
    <n v="2"/>
    <x v="0"/>
    <n v="82"/>
    <n v="3"/>
    <x v="0"/>
    <s v="Sales Executive"/>
    <n v="3"/>
    <s v="Married"/>
    <x v="823"/>
    <n v="4905"/>
    <n v="1"/>
    <s v="Y"/>
    <x v="1"/>
    <n v="12"/>
    <n v="3"/>
    <n v="1"/>
    <x v="0"/>
    <n v="1"/>
    <n v="10"/>
    <n v="3"/>
    <n v="2"/>
    <n v="10"/>
    <n v="7"/>
    <x v="0"/>
    <n v="1"/>
  </r>
  <r>
    <n v="36"/>
    <x v="1"/>
    <x v="0"/>
    <n v="917"/>
    <x v="1"/>
    <n v="6"/>
    <n v="4"/>
    <x v="0"/>
    <n v="1"/>
    <n v="1221"/>
    <n v="3"/>
    <x v="1"/>
    <n v="60"/>
    <n v="1"/>
    <x v="1"/>
    <s v="Laboratory Technician"/>
    <n v="3"/>
    <s v="Divorced"/>
    <x v="199"/>
    <n v="6865"/>
    <n v="1"/>
    <s v="Y"/>
    <x v="1"/>
    <n v="14"/>
    <n v="3"/>
    <n v="3"/>
    <x v="0"/>
    <n v="1"/>
    <n v="7"/>
    <n v="4"/>
    <n v="3"/>
    <n v="7"/>
    <n v="7"/>
    <x v="1"/>
    <n v="7"/>
  </r>
  <r>
    <n v="30"/>
    <x v="1"/>
    <x v="0"/>
    <n v="853"/>
    <x v="1"/>
    <n v="7"/>
    <n v="4"/>
    <x v="0"/>
    <n v="1"/>
    <n v="1224"/>
    <n v="3"/>
    <x v="1"/>
    <n v="49"/>
    <n v="3"/>
    <x v="0"/>
    <s v="Laboratory Technician"/>
    <n v="3"/>
    <s v="Divorced"/>
    <x v="824"/>
    <n v="11309"/>
    <n v="1"/>
    <s v="Y"/>
    <x v="1"/>
    <n v="13"/>
    <n v="3"/>
    <n v="1"/>
    <x v="0"/>
    <n v="3"/>
    <n v="10"/>
    <n v="4"/>
    <n v="2"/>
    <n v="10"/>
    <n v="7"/>
    <x v="6"/>
    <n v="9"/>
  </r>
  <r>
    <n v="44"/>
    <x v="1"/>
    <x v="0"/>
    <n v="200"/>
    <x v="1"/>
    <n v="29"/>
    <n v="4"/>
    <x v="1"/>
    <n v="1"/>
    <n v="1225"/>
    <n v="4"/>
    <x v="1"/>
    <n v="32"/>
    <n v="3"/>
    <x v="0"/>
    <s v="Research Scientist"/>
    <n v="4"/>
    <s v="Single"/>
    <x v="825"/>
    <n v="7744"/>
    <n v="1"/>
    <s v="Y"/>
    <x v="1"/>
    <n v="25"/>
    <n v="4"/>
    <n v="2"/>
    <x v="0"/>
    <n v="0"/>
    <n v="20"/>
    <n v="3"/>
    <n v="3"/>
    <n v="20"/>
    <n v="11"/>
    <x v="11"/>
    <n v="17"/>
  </r>
  <r>
    <n v="20"/>
    <x v="1"/>
    <x v="0"/>
    <n v="654"/>
    <x v="0"/>
    <n v="21"/>
    <n v="3"/>
    <x v="3"/>
    <n v="1"/>
    <n v="1226"/>
    <n v="3"/>
    <x v="1"/>
    <n v="43"/>
    <n v="4"/>
    <x v="1"/>
    <s v="Sales Representative"/>
    <n v="4"/>
    <s v="Single"/>
    <x v="826"/>
    <n v="5050"/>
    <n v="1"/>
    <s v="Y"/>
    <x v="1"/>
    <n v="17"/>
    <n v="3"/>
    <n v="4"/>
    <x v="0"/>
    <n v="0"/>
    <n v="2"/>
    <n v="2"/>
    <n v="3"/>
    <n v="2"/>
    <n v="1"/>
    <x v="3"/>
    <n v="2"/>
  </r>
  <r>
    <n v="46"/>
    <x v="1"/>
    <x v="0"/>
    <n v="150"/>
    <x v="1"/>
    <n v="2"/>
    <n v="4"/>
    <x v="4"/>
    <n v="1"/>
    <n v="1228"/>
    <n v="4"/>
    <x v="1"/>
    <n v="60"/>
    <n v="3"/>
    <x v="0"/>
    <s v="Manufacturing Director"/>
    <n v="4"/>
    <s v="Divorced"/>
    <x v="827"/>
    <n v="17433"/>
    <n v="2"/>
    <s v="Y"/>
    <x v="1"/>
    <n v="11"/>
    <n v="3"/>
    <n v="3"/>
    <x v="0"/>
    <n v="1"/>
    <n v="12"/>
    <n v="3"/>
    <n v="2"/>
    <n v="6"/>
    <n v="3"/>
    <x v="1"/>
    <n v="4"/>
  </r>
  <r>
    <n v="42"/>
    <x v="1"/>
    <x v="2"/>
    <n v="179"/>
    <x v="2"/>
    <n v="2"/>
    <n v="5"/>
    <x v="2"/>
    <n v="1"/>
    <n v="1231"/>
    <n v="4"/>
    <x v="1"/>
    <n v="79"/>
    <n v="4"/>
    <x v="0"/>
    <s v="Human Resources"/>
    <n v="1"/>
    <s v="Married"/>
    <x v="458"/>
    <n v="12858"/>
    <n v="7"/>
    <s v="Y"/>
    <x v="1"/>
    <n v="16"/>
    <n v="3"/>
    <n v="1"/>
    <x v="0"/>
    <n v="1"/>
    <n v="10"/>
    <n v="3"/>
    <n v="4"/>
    <n v="4"/>
    <n v="3"/>
    <x v="0"/>
    <n v="3"/>
  </r>
  <r>
    <n v="60"/>
    <x v="1"/>
    <x v="0"/>
    <n v="696"/>
    <x v="0"/>
    <n v="7"/>
    <n v="4"/>
    <x v="3"/>
    <n v="1"/>
    <n v="1233"/>
    <n v="2"/>
    <x v="1"/>
    <n v="52"/>
    <n v="4"/>
    <x v="0"/>
    <s v="Sales Executive"/>
    <n v="4"/>
    <s v="Divorced"/>
    <x v="828"/>
    <n v="10893"/>
    <n v="0"/>
    <s v="Y"/>
    <x v="0"/>
    <n v="18"/>
    <n v="3"/>
    <n v="2"/>
    <x v="0"/>
    <n v="1"/>
    <n v="12"/>
    <n v="3"/>
    <n v="3"/>
    <n v="11"/>
    <n v="7"/>
    <x v="1"/>
    <n v="9"/>
  </r>
  <r>
    <n v="32"/>
    <x v="1"/>
    <x v="1"/>
    <n v="116"/>
    <x v="1"/>
    <n v="13"/>
    <n v="3"/>
    <x v="1"/>
    <n v="1"/>
    <n v="1234"/>
    <n v="3"/>
    <x v="0"/>
    <n v="77"/>
    <n v="2"/>
    <x v="1"/>
    <s v="Laboratory Technician"/>
    <n v="2"/>
    <s v="Married"/>
    <x v="714"/>
    <n v="7331"/>
    <n v="1"/>
    <s v="Y"/>
    <x v="1"/>
    <n v="20"/>
    <n v="4"/>
    <n v="3"/>
    <x v="0"/>
    <n v="1"/>
    <n v="2"/>
    <n v="2"/>
    <n v="3"/>
    <n v="2"/>
    <n v="2"/>
    <x v="3"/>
    <n v="2"/>
  </r>
  <r>
    <n v="32"/>
    <x v="1"/>
    <x v="1"/>
    <n v="1316"/>
    <x v="1"/>
    <n v="2"/>
    <n v="2"/>
    <x v="0"/>
    <n v="1"/>
    <n v="1235"/>
    <n v="4"/>
    <x v="0"/>
    <n v="38"/>
    <n v="3"/>
    <x v="0"/>
    <s v="Research Scientist"/>
    <n v="3"/>
    <s v="Single"/>
    <x v="829"/>
    <n v="2338"/>
    <n v="4"/>
    <s v="Y"/>
    <x v="0"/>
    <n v="14"/>
    <n v="3"/>
    <n v="4"/>
    <x v="0"/>
    <n v="0"/>
    <n v="10"/>
    <n v="2"/>
    <n v="3"/>
    <n v="8"/>
    <n v="7"/>
    <x v="0"/>
    <n v="7"/>
  </r>
  <r>
    <n v="36"/>
    <x v="1"/>
    <x v="0"/>
    <n v="363"/>
    <x v="1"/>
    <n v="1"/>
    <n v="3"/>
    <x v="4"/>
    <n v="1"/>
    <n v="1237"/>
    <n v="3"/>
    <x v="0"/>
    <n v="77"/>
    <n v="1"/>
    <x v="2"/>
    <s v="Manufacturing Director"/>
    <n v="1"/>
    <s v="Divorced"/>
    <x v="830"/>
    <n v="4235"/>
    <n v="2"/>
    <s v="Y"/>
    <x v="0"/>
    <n v="21"/>
    <n v="4"/>
    <n v="3"/>
    <x v="0"/>
    <n v="1"/>
    <n v="17"/>
    <n v="2"/>
    <n v="3"/>
    <n v="7"/>
    <n v="7"/>
    <x v="4"/>
    <n v="7"/>
  </r>
  <r>
    <n v="33"/>
    <x v="1"/>
    <x v="0"/>
    <n v="117"/>
    <x v="1"/>
    <n v="9"/>
    <n v="3"/>
    <x v="2"/>
    <n v="1"/>
    <n v="1238"/>
    <n v="1"/>
    <x v="1"/>
    <n v="60"/>
    <n v="3"/>
    <x v="1"/>
    <s v="Research Scientist"/>
    <n v="4"/>
    <s v="Married"/>
    <x v="831"/>
    <n v="6311"/>
    <n v="0"/>
    <s v="Y"/>
    <x v="1"/>
    <n v="13"/>
    <n v="3"/>
    <n v="2"/>
    <x v="0"/>
    <n v="1"/>
    <n v="15"/>
    <n v="5"/>
    <n v="3"/>
    <n v="14"/>
    <n v="10"/>
    <x v="5"/>
    <n v="10"/>
  </r>
  <r>
    <n v="40"/>
    <x v="1"/>
    <x v="0"/>
    <n v="107"/>
    <x v="0"/>
    <n v="10"/>
    <n v="3"/>
    <x v="4"/>
    <n v="1"/>
    <n v="1239"/>
    <n v="2"/>
    <x v="0"/>
    <n v="84"/>
    <n v="2"/>
    <x v="0"/>
    <s v="Sales Executive"/>
    <n v="2"/>
    <s v="Divorced"/>
    <x v="832"/>
    <n v="11591"/>
    <n v="7"/>
    <s v="Y"/>
    <x v="1"/>
    <n v="12"/>
    <n v="3"/>
    <n v="2"/>
    <x v="0"/>
    <n v="1"/>
    <n v="7"/>
    <n v="2"/>
    <n v="4"/>
    <n v="5"/>
    <n v="1"/>
    <x v="1"/>
    <n v="3"/>
  </r>
  <r>
    <n v="25"/>
    <x v="1"/>
    <x v="0"/>
    <n v="1356"/>
    <x v="0"/>
    <n v="10"/>
    <n v="4"/>
    <x v="0"/>
    <n v="1"/>
    <n v="1240"/>
    <n v="3"/>
    <x v="1"/>
    <n v="57"/>
    <n v="3"/>
    <x v="0"/>
    <s v="Sales Executive"/>
    <n v="4"/>
    <s v="Single"/>
    <x v="833"/>
    <n v="20623"/>
    <n v="0"/>
    <s v="Y"/>
    <x v="1"/>
    <n v="14"/>
    <n v="3"/>
    <n v="2"/>
    <x v="0"/>
    <n v="0"/>
    <n v="5"/>
    <n v="4"/>
    <n v="3"/>
    <n v="4"/>
    <n v="3"/>
    <x v="1"/>
    <n v="1"/>
  </r>
  <r>
    <n v="30"/>
    <x v="1"/>
    <x v="0"/>
    <n v="1465"/>
    <x v="1"/>
    <n v="1"/>
    <n v="3"/>
    <x v="2"/>
    <n v="1"/>
    <n v="1241"/>
    <n v="4"/>
    <x v="1"/>
    <n v="63"/>
    <n v="3"/>
    <x v="1"/>
    <s v="Research Scientist"/>
    <n v="2"/>
    <s v="Married"/>
    <x v="834"/>
    <n v="9369"/>
    <n v="0"/>
    <s v="Y"/>
    <x v="0"/>
    <n v="21"/>
    <n v="4"/>
    <n v="1"/>
    <x v="0"/>
    <n v="1"/>
    <n v="12"/>
    <n v="2"/>
    <n v="3"/>
    <n v="11"/>
    <n v="9"/>
    <x v="8"/>
    <n v="7"/>
  </r>
  <r>
    <n v="42"/>
    <x v="1"/>
    <x v="1"/>
    <n v="458"/>
    <x v="1"/>
    <n v="26"/>
    <n v="5"/>
    <x v="2"/>
    <n v="1"/>
    <n v="1242"/>
    <n v="1"/>
    <x v="0"/>
    <n v="60"/>
    <n v="3"/>
    <x v="2"/>
    <s v="Research Director"/>
    <n v="1"/>
    <s v="Married"/>
    <x v="835"/>
    <n v="23281"/>
    <n v="3"/>
    <s v="Y"/>
    <x v="0"/>
    <n v="17"/>
    <n v="3"/>
    <n v="3"/>
    <x v="0"/>
    <n v="0"/>
    <n v="20"/>
    <n v="6"/>
    <n v="3"/>
    <n v="1"/>
    <n v="0"/>
    <x v="0"/>
    <n v="0"/>
  </r>
  <r>
    <n v="35"/>
    <x v="1"/>
    <x v="2"/>
    <n v="1212"/>
    <x v="0"/>
    <n v="8"/>
    <n v="2"/>
    <x v="3"/>
    <n v="1"/>
    <n v="1243"/>
    <n v="3"/>
    <x v="0"/>
    <n v="78"/>
    <n v="2"/>
    <x v="2"/>
    <s v="Sales Executive"/>
    <n v="4"/>
    <s v="Married"/>
    <x v="836"/>
    <n v="13755"/>
    <n v="4"/>
    <s v="Y"/>
    <x v="0"/>
    <n v="11"/>
    <n v="3"/>
    <n v="2"/>
    <x v="0"/>
    <n v="1"/>
    <n v="16"/>
    <n v="6"/>
    <n v="2"/>
    <n v="13"/>
    <n v="2"/>
    <x v="5"/>
    <n v="12"/>
  </r>
  <r>
    <n v="27"/>
    <x v="1"/>
    <x v="0"/>
    <n v="1103"/>
    <x v="1"/>
    <n v="14"/>
    <n v="3"/>
    <x v="0"/>
    <n v="1"/>
    <n v="1244"/>
    <n v="1"/>
    <x v="1"/>
    <n v="42"/>
    <n v="3"/>
    <x v="1"/>
    <s v="Research Scientist"/>
    <n v="1"/>
    <s v="Married"/>
    <x v="837"/>
    <n v="14377"/>
    <n v="1"/>
    <s v="Y"/>
    <x v="0"/>
    <n v="14"/>
    <n v="3"/>
    <n v="4"/>
    <x v="0"/>
    <n v="2"/>
    <n v="9"/>
    <n v="3"/>
    <n v="2"/>
    <n v="9"/>
    <n v="7"/>
    <x v="7"/>
    <n v="8"/>
  </r>
  <r>
    <n v="54"/>
    <x v="1"/>
    <x v="1"/>
    <n v="966"/>
    <x v="1"/>
    <n v="1"/>
    <n v="4"/>
    <x v="0"/>
    <n v="1"/>
    <n v="1245"/>
    <n v="4"/>
    <x v="0"/>
    <n v="53"/>
    <n v="3"/>
    <x v="2"/>
    <s v="Manufacturing Director"/>
    <n v="3"/>
    <s v="Divorced"/>
    <x v="838"/>
    <n v="9659"/>
    <n v="7"/>
    <s v="Y"/>
    <x v="1"/>
    <n v="17"/>
    <n v="3"/>
    <n v="1"/>
    <x v="0"/>
    <n v="1"/>
    <n v="33"/>
    <n v="2"/>
    <n v="1"/>
    <n v="5"/>
    <n v="4"/>
    <x v="1"/>
    <n v="4"/>
  </r>
  <r>
    <n v="44"/>
    <x v="1"/>
    <x v="0"/>
    <n v="1117"/>
    <x v="1"/>
    <n v="2"/>
    <n v="1"/>
    <x v="0"/>
    <n v="1"/>
    <n v="1246"/>
    <n v="1"/>
    <x v="0"/>
    <n v="72"/>
    <n v="4"/>
    <x v="1"/>
    <s v="Research Scientist"/>
    <n v="4"/>
    <s v="Married"/>
    <x v="839"/>
    <n v="19982"/>
    <n v="1"/>
    <s v="Y"/>
    <x v="1"/>
    <n v="13"/>
    <n v="3"/>
    <n v="4"/>
    <x v="0"/>
    <n v="1"/>
    <n v="10"/>
    <n v="5"/>
    <n v="3"/>
    <n v="10"/>
    <n v="5"/>
    <x v="4"/>
    <n v="7"/>
  </r>
  <r>
    <n v="19"/>
    <x v="0"/>
    <x v="2"/>
    <n v="504"/>
    <x v="1"/>
    <n v="10"/>
    <n v="3"/>
    <x v="2"/>
    <n v="1"/>
    <n v="1248"/>
    <n v="1"/>
    <x v="0"/>
    <n v="96"/>
    <n v="2"/>
    <x v="1"/>
    <s v="Research Scientist"/>
    <n v="2"/>
    <s v="Single"/>
    <x v="840"/>
    <n v="6148"/>
    <n v="1"/>
    <s v="Y"/>
    <x v="0"/>
    <n v="25"/>
    <n v="4"/>
    <n v="2"/>
    <x v="0"/>
    <n v="0"/>
    <n v="1"/>
    <n v="2"/>
    <n v="4"/>
    <n v="1"/>
    <n v="1"/>
    <x v="0"/>
    <n v="0"/>
  </r>
  <r>
    <n v="29"/>
    <x v="1"/>
    <x v="0"/>
    <n v="1010"/>
    <x v="1"/>
    <n v="1"/>
    <n v="3"/>
    <x v="0"/>
    <n v="1"/>
    <n v="1249"/>
    <n v="1"/>
    <x v="0"/>
    <n v="97"/>
    <n v="3"/>
    <x v="1"/>
    <s v="Research Scientist"/>
    <n v="4"/>
    <s v="Divorced"/>
    <x v="841"/>
    <n v="5598"/>
    <n v="1"/>
    <s v="Y"/>
    <x v="1"/>
    <n v="15"/>
    <n v="3"/>
    <n v="1"/>
    <x v="0"/>
    <n v="3"/>
    <n v="3"/>
    <n v="5"/>
    <n v="3"/>
    <n v="3"/>
    <n v="2"/>
    <x v="1"/>
    <n v="2"/>
  </r>
  <r>
    <n v="54"/>
    <x v="1"/>
    <x v="0"/>
    <n v="685"/>
    <x v="1"/>
    <n v="3"/>
    <n v="3"/>
    <x v="0"/>
    <n v="1"/>
    <n v="1250"/>
    <n v="4"/>
    <x v="1"/>
    <n v="85"/>
    <n v="3"/>
    <x v="3"/>
    <s v="Research Director"/>
    <n v="4"/>
    <s v="Married"/>
    <x v="842"/>
    <n v="23474"/>
    <n v="3"/>
    <s v="Y"/>
    <x v="1"/>
    <n v="14"/>
    <n v="3"/>
    <n v="1"/>
    <x v="0"/>
    <n v="0"/>
    <n v="36"/>
    <n v="2"/>
    <n v="3"/>
    <n v="10"/>
    <n v="9"/>
    <x v="0"/>
    <n v="9"/>
  </r>
  <r>
    <n v="31"/>
    <x v="1"/>
    <x v="0"/>
    <n v="1332"/>
    <x v="1"/>
    <n v="11"/>
    <n v="2"/>
    <x v="2"/>
    <n v="1"/>
    <n v="1251"/>
    <n v="3"/>
    <x v="1"/>
    <n v="80"/>
    <n v="3"/>
    <x v="0"/>
    <s v="Healthcare Representative"/>
    <n v="1"/>
    <s v="Married"/>
    <x v="843"/>
    <n v="17089"/>
    <n v="1"/>
    <s v="Y"/>
    <x v="0"/>
    <n v="12"/>
    <n v="3"/>
    <n v="4"/>
    <x v="0"/>
    <n v="0"/>
    <n v="6"/>
    <n v="2"/>
    <n v="2"/>
    <n v="6"/>
    <n v="5"/>
    <x v="0"/>
    <n v="1"/>
  </r>
  <r>
    <n v="31"/>
    <x v="1"/>
    <x v="0"/>
    <n v="1062"/>
    <x v="1"/>
    <n v="24"/>
    <n v="3"/>
    <x v="2"/>
    <n v="1"/>
    <n v="1252"/>
    <n v="3"/>
    <x v="0"/>
    <n v="96"/>
    <n v="2"/>
    <x v="0"/>
    <s v="Healthcare Representative"/>
    <n v="1"/>
    <s v="Single"/>
    <x v="844"/>
    <n v="17198"/>
    <n v="1"/>
    <s v="Y"/>
    <x v="1"/>
    <n v="19"/>
    <n v="3"/>
    <n v="2"/>
    <x v="0"/>
    <n v="0"/>
    <n v="10"/>
    <n v="2"/>
    <n v="3"/>
    <n v="10"/>
    <n v="9"/>
    <x v="1"/>
    <n v="8"/>
  </r>
  <r>
    <n v="59"/>
    <x v="1"/>
    <x v="0"/>
    <n v="326"/>
    <x v="0"/>
    <n v="3"/>
    <n v="3"/>
    <x v="0"/>
    <n v="1"/>
    <n v="1254"/>
    <n v="3"/>
    <x v="0"/>
    <n v="48"/>
    <n v="2"/>
    <x v="0"/>
    <s v="Sales Executive"/>
    <n v="4"/>
    <s v="Single"/>
    <x v="845"/>
    <n v="16490"/>
    <n v="5"/>
    <s v="Y"/>
    <x v="1"/>
    <n v="17"/>
    <n v="3"/>
    <n v="4"/>
    <x v="0"/>
    <n v="0"/>
    <n v="13"/>
    <n v="2"/>
    <n v="3"/>
    <n v="6"/>
    <n v="1"/>
    <x v="0"/>
    <n v="5"/>
  </r>
  <r>
    <n v="43"/>
    <x v="1"/>
    <x v="0"/>
    <n v="920"/>
    <x v="1"/>
    <n v="3"/>
    <n v="3"/>
    <x v="0"/>
    <n v="1"/>
    <n v="1255"/>
    <n v="3"/>
    <x v="1"/>
    <n v="96"/>
    <n v="1"/>
    <x v="4"/>
    <s v="Research Director"/>
    <n v="4"/>
    <s v="Married"/>
    <x v="846"/>
    <n v="18625"/>
    <n v="3"/>
    <s v="Y"/>
    <x v="1"/>
    <n v="14"/>
    <n v="3"/>
    <n v="2"/>
    <x v="0"/>
    <n v="1"/>
    <n v="25"/>
    <n v="2"/>
    <n v="3"/>
    <n v="8"/>
    <n v="7"/>
    <x v="0"/>
    <n v="7"/>
  </r>
  <r>
    <n v="49"/>
    <x v="1"/>
    <x v="0"/>
    <n v="1098"/>
    <x v="1"/>
    <n v="4"/>
    <n v="2"/>
    <x v="2"/>
    <n v="1"/>
    <n v="1256"/>
    <n v="1"/>
    <x v="1"/>
    <n v="85"/>
    <n v="2"/>
    <x v="4"/>
    <s v="Manager"/>
    <n v="3"/>
    <s v="Married"/>
    <x v="847"/>
    <n v="12124"/>
    <n v="2"/>
    <s v="Y"/>
    <x v="1"/>
    <n v="13"/>
    <n v="3"/>
    <n v="3"/>
    <x v="0"/>
    <n v="1"/>
    <n v="23"/>
    <n v="2"/>
    <n v="4"/>
    <n v="1"/>
    <n v="0"/>
    <x v="0"/>
    <n v="0"/>
  </r>
  <r>
    <n v="36"/>
    <x v="1"/>
    <x v="1"/>
    <n v="469"/>
    <x v="1"/>
    <n v="3"/>
    <n v="3"/>
    <x v="4"/>
    <n v="1"/>
    <n v="1257"/>
    <n v="3"/>
    <x v="1"/>
    <n v="46"/>
    <n v="3"/>
    <x v="1"/>
    <s v="Research Scientist"/>
    <n v="2"/>
    <s v="Married"/>
    <x v="848"/>
    <n v="9256"/>
    <n v="1"/>
    <s v="Y"/>
    <x v="1"/>
    <n v="12"/>
    <n v="3"/>
    <n v="3"/>
    <x v="0"/>
    <n v="0"/>
    <n v="12"/>
    <n v="2"/>
    <n v="2"/>
    <n v="11"/>
    <n v="10"/>
    <x v="0"/>
    <n v="7"/>
  </r>
  <r>
    <n v="48"/>
    <x v="1"/>
    <x v="0"/>
    <n v="969"/>
    <x v="1"/>
    <n v="2"/>
    <n v="2"/>
    <x v="4"/>
    <n v="1"/>
    <n v="1258"/>
    <n v="4"/>
    <x v="1"/>
    <n v="76"/>
    <n v="4"/>
    <x v="1"/>
    <s v="Laboratory Technician"/>
    <n v="2"/>
    <s v="Single"/>
    <x v="594"/>
    <n v="16620"/>
    <n v="5"/>
    <s v="Y"/>
    <x v="1"/>
    <n v="11"/>
    <n v="3"/>
    <n v="3"/>
    <x v="0"/>
    <n v="0"/>
    <n v="7"/>
    <n v="4"/>
    <n v="2"/>
    <n v="1"/>
    <n v="0"/>
    <x v="0"/>
    <n v="0"/>
  </r>
  <r>
    <n v="27"/>
    <x v="1"/>
    <x v="0"/>
    <n v="1167"/>
    <x v="1"/>
    <n v="4"/>
    <n v="2"/>
    <x v="0"/>
    <n v="1"/>
    <n v="1259"/>
    <n v="1"/>
    <x v="1"/>
    <n v="76"/>
    <n v="3"/>
    <x v="1"/>
    <s v="Research Scientist"/>
    <n v="3"/>
    <s v="Divorced"/>
    <x v="849"/>
    <n v="3208"/>
    <n v="1"/>
    <s v="Y"/>
    <x v="1"/>
    <n v="11"/>
    <n v="3"/>
    <n v="2"/>
    <x v="0"/>
    <n v="3"/>
    <n v="5"/>
    <n v="2"/>
    <n v="3"/>
    <n v="5"/>
    <n v="3"/>
    <x v="0"/>
    <n v="3"/>
  </r>
  <r>
    <n v="29"/>
    <x v="1"/>
    <x v="0"/>
    <n v="1329"/>
    <x v="1"/>
    <n v="7"/>
    <n v="3"/>
    <x v="0"/>
    <n v="1"/>
    <n v="1260"/>
    <n v="3"/>
    <x v="1"/>
    <n v="82"/>
    <n v="3"/>
    <x v="0"/>
    <s v="Healthcare Representative"/>
    <n v="4"/>
    <s v="Divorced"/>
    <x v="850"/>
    <n v="4204"/>
    <n v="1"/>
    <s v="Y"/>
    <x v="0"/>
    <n v="11"/>
    <n v="3"/>
    <n v="2"/>
    <x v="0"/>
    <n v="2"/>
    <n v="6"/>
    <n v="2"/>
    <n v="3"/>
    <n v="6"/>
    <n v="0"/>
    <x v="1"/>
    <n v="0"/>
  </r>
  <r>
    <n v="48"/>
    <x v="1"/>
    <x v="0"/>
    <n v="715"/>
    <x v="1"/>
    <n v="1"/>
    <n v="3"/>
    <x v="0"/>
    <n v="1"/>
    <n v="1263"/>
    <n v="4"/>
    <x v="1"/>
    <n v="76"/>
    <n v="2"/>
    <x v="4"/>
    <s v="Research Director"/>
    <n v="4"/>
    <s v="Single"/>
    <x v="851"/>
    <n v="8733"/>
    <n v="6"/>
    <s v="Y"/>
    <x v="1"/>
    <n v="12"/>
    <n v="3"/>
    <n v="3"/>
    <x v="0"/>
    <n v="0"/>
    <n v="25"/>
    <n v="3"/>
    <n v="4"/>
    <n v="1"/>
    <n v="0"/>
    <x v="0"/>
    <n v="0"/>
  </r>
  <r>
    <n v="29"/>
    <x v="1"/>
    <x v="0"/>
    <n v="694"/>
    <x v="1"/>
    <n v="1"/>
    <n v="3"/>
    <x v="0"/>
    <n v="1"/>
    <n v="1264"/>
    <n v="4"/>
    <x v="0"/>
    <n v="87"/>
    <n v="2"/>
    <x v="3"/>
    <s v="Research Director"/>
    <n v="4"/>
    <s v="Divorced"/>
    <x v="852"/>
    <n v="3423"/>
    <n v="3"/>
    <s v="Y"/>
    <x v="1"/>
    <n v="14"/>
    <n v="3"/>
    <n v="2"/>
    <x v="0"/>
    <n v="2"/>
    <n v="9"/>
    <n v="2"/>
    <n v="2"/>
    <n v="7"/>
    <n v="7"/>
    <x v="1"/>
    <n v="7"/>
  </r>
  <r>
    <n v="34"/>
    <x v="1"/>
    <x v="0"/>
    <n v="1320"/>
    <x v="1"/>
    <n v="20"/>
    <n v="3"/>
    <x v="4"/>
    <n v="1"/>
    <n v="1265"/>
    <n v="3"/>
    <x v="0"/>
    <n v="89"/>
    <n v="4"/>
    <x v="1"/>
    <s v="Research Scientist"/>
    <n v="3"/>
    <s v="Married"/>
    <x v="853"/>
    <n v="21643"/>
    <n v="0"/>
    <s v="Y"/>
    <x v="1"/>
    <n v="17"/>
    <n v="3"/>
    <n v="4"/>
    <x v="0"/>
    <n v="0"/>
    <n v="2"/>
    <n v="5"/>
    <n v="2"/>
    <n v="1"/>
    <n v="0"/>
    <x v="0"/>
    <n v="0"/>
  </r>
  <r>
    <n v="44"/>
    <x v="1"/>
    <x v="0"/>
    <n v="1099"/>
    <x v="0"/>
    <n v="5"/>
    <n v="3"/>
    <x v="3"/>
    <n v="1"/>
    <n v="1267"/>
    <n v="2"/>
    <x v="1"/>
    <n v="88"/>
    <n v="3"/>
    <x v="4"/>
    <s v="Manager"/>
    <n v="2"/>
    <s v="Married"/>
    <x v="854"/>
    <n v="8751"/>
    <n v="7"/>
    <s v="Y"/>
    <x v="1"/>
    <n v="11"/>
    <n v="3"/>
    <n v="3"/>
    <x v="0"/>
    <n v="1"/>
    <n v="26"/>
    <n v="5"/>
    <n v="3"/>
    <n v="22"/>
    <n v="9"/>
    <x v="2"/>
    <n v="10"/>
  </r>
  <r>
    <n v="33"/>
    <x v="1"/>
    <x v="0"/>
    <n v="536"/>
    <x v="0"/>
    <n v="10"/>
    <n v="5"/>
    <x v="3"/>
    <n v="1"/>
    <n v="1268"/>
    <n v="4"/>
    <x v="1"/>
    <n v="82"/>
    <n v="4"/>
    <x v="2"/>
    <s v="Sales Executive"/>
    <n v="3"/>
    <s v="Divorced"/>
    <x v="855"/>
    <n v="21708"/>
    <n v="0"/>
    <s v="Y"/>
    <x v="0"/>
    <n v="14"/>
    <n v="3"/>
    <n v="4"/>
    <x v="0"/>
    <n v="2"/>
    <n v="10"/>
    <n v="3"/>
    <n v="3"/>
    <n v="9"/>
    <n v="8"/>
    <x v="0"/>
    <n v="8"/>
  </r>
  <r>
    <n v="19"/>
    <x v="1"/>
    <x v="0"/>
    <n v="265"/>
    <x v="1"/>
    <n v="25"/>
    <n v="3"/>
    <x v="0"/>
    <n v="1"/>
    <n v="1269"/>
    <n v="2"/>
    <x v="0"/>
    <n v="57"/>
    <n v="4"/>
    <x v="1"/>
    <s v="Research Scientist"/>
    <n v="4"/>
    <s v="Single"/>
    <x v="856"/>
    <n v="21221"/>
    <n v="1"/>
    <s v="Y"/>
    <x v="0"/>
    <n v="12"/>
    <n v="3"/>
    <n v="4"/>
    <x v="0"/>
    <n v="0"/>
    <n v="1"/>
    <n v="2"/>
    <n v="3"/>
    <n v="1"/>
    <n v="0"/>
    <x v="0"/>
    <n v="1"/>
  </r>
  <r>
    <n v="23"/>
    <x v="1"/>
    <x v="0"/>
    <n v="373"/>
    <x v="1"/>
    <n v="1"/>
    <n v="2"/>
    <x v="0"/>
    <n v="1"/>
    <n v="1270"/>
    <n v="4"/>
    <x v="1"/>
    <n v="47"/>
    <n v="3"/>
    <x v="1"/>
    <s v="Research Scientist"/>
    <n v="3"/>
    <s v="Married"/>
    <x v="857"/>
    <n v="16901"/>
    <n v="1"/>
    <s v="Y"/>
    <x v="1"/>
    <n v="22"/>
    <n v="4"/>
    <n v="4"/>
    <x v="0"/>
    <n v="1"/>
    <n v="1"/>
    <n v="2"/>
    <n v="3"/>
    <n v="1"/>
    <n v="0"/>
    <x v="0"/>
    <n v="1"/>
  </r>
  <r>
    <n v="25"/>
    <x v="0"/>
    <x v="1"/>
    <n v="599"/>
    <x v="0"/>
    <n v="24"/>
    <n v="1"/>
    <x v="0"/>
    <n v="1"/>
    <n v="1273"/>
    <n v="3"/>
    <x v="1"/>
    <n v="73"/>
    <n v="1"/>
    <x v="1"/>
    <s v="Sales Representative"/>
    <n v="4"/>
    <s v="Single"/>
    <x v="858"/>
    <n v="8040"/>
    <n v="1"/>
    <s v="Y"/>
    <x v="0"/>
    <n v="14"/>
    <n v="3"/>
    <n v="4"/>
    <x v="0"/>
    <n v="0"/>
    <n v="1"/>
    <n v="4"/>
    <n v="3"/>
    <n v="1"/>
    <n v="0"/>
    <x v="1"/>
    <n v="0"/>
  </r>
  <r>
    <n v="26"/>
    <x v="1"/>
    <x v="0"/>
    <n v="583"/>
    <x v="1"/>
    <n v="4"/>
    <n v="2"/>
    <x v="0"/>
    <n v="1"/>
    <n v="1275"/>
    <n v="3"/>
    <x v="1"/>
    <n v="53"/>
    <n v="3"/>
    <x v="1"/>
    <s v="Research Scientist"/>
    <n v="4"/>
    <s v="Single"/>
    <x v="859"/>
    <n v="9973"/>
    <n v="1"/>
    <s v="Y"/>
    <x v="0"/>
    <n v="20"/>
    <n v="4"/>
    <n v="2"/>
    <x v="0"/>
    <n v="0"/>
    <n v="8"/>
    <n v="2"/>
    <n v="2"/>
    <n v="8"/>
    <n v="5"/>
    <x v="3"/>
    <n v="2"/>
  </r>
  <r>
    <n v="45"/>
    <x v="0"/>
    <x v="0"/>
    <n v="1449"/>
    <x v="0"/>
    <n v="2"/>
    <n v="3"/>
    <x v="3"/>
    <n v="1"/>
    <n v="1277"/>
    <n v="1"/>
    <x v="0"/>
    <n v="94"/>
    <n v="1"/>
    <x v="4"/>
    <s v="Manager"/>
    <n v="2"/>
    <s v="Single"/>
    <x v="860"/>
    <n v="2493"/>
    <n v="2"/>
    <s v="Y"/>
    <x v="0"/>
    <n v="16"/>
    <n v="3"/>
    <n v="1"/>
    <x v="0"/>
    <n v="0"/>
    <n v="26"/>
    <n v="2"/>
    <n v="3"/>
    <n v="24"/>
    <n v="10"/>
    <x v="1"/>
    <n v="11"/>
  </r>
  <r>
    <n v="55"/>
    <x v="1"/>
    <x v="2"/>
    <n v="177"/>
    <x v="1"/>
    <n v="8"/>
    <n v="1"/>
    <x v="2"/>
    <n v="1"/>
    <n v="1278"/>
    <n v="4"/>
    <x v="1"/>
    <n v="37"/>
    <n v="2"/>
    <x v="3"/>
    <s v="Healthcare Representative"/>
    <n v="2"/>
    <s v="Divorced"/>
    <x v="861"/>
    <n v="25592"/>
    <n v="1"/>
    <s v="Y"/>
    <x v="0"/>
    <n v="15"/>
    <n v="3"/>
    <n v="4"/>
    <x v="0"/>
    <n v="1"/>
    <n v="34"/>
    <n v="3"/>
    <n v="3"/>
    <n v="33"/>
    <n v="9"/>
    <x v="9"/>
    <n v="0"/>
  </r>
  <r>
    <n v="21"/>
    <x v="0"/>
    <x v="1"/>
    <n v="251"/>
    <x v="1"/>
    <n v="10"/>
    <n v="2"/>
    <x v="0"/>
    <n v="1"/>
    <n v="1279"/>
    <n v="1"/>
    <x v="0"/>
    <n v="45"/>
    <n v="2"/>
    <x v="1"/>
    <s v="Laboratory Technician"/>
    <n v="3"/>
    <s v="Single"/>
    <x v="862"/>
    <n v="25308"/>
    <n v="1"/>
    <s v="Y"/>
    <x v="1"/>
    <n v="20"/>
    <n v="4"/>
    <n v="3"/>
    <x v="0"/>
    <n v="0"/>
    <n v="2"/>
    <n v="2"/>
    <n v="1"/>
    <n v="2"/>
    <n v="2"/>
    <x v="3"/>
    <n v="2"/>
  </r>
  <r>
    <n v="46"/>
    <x v="1"/>
    <x v="0"/>
    <n v="168"/>
    <x v="0"/>
    <n v="4"/>
    <n v="2"/>
    <x v="3"/>
    <n v="1"/>
    <n v="1280"/>
    <n v="4"/>
    <x v="0"/>
    <n v="33"/>
    <n v="2"/>
    <x v="4"/>
    <s v="Manager"/>
    <n v="2"/>
    <s v="Married"/>
    <x v="863"/>
    <n v="9946"/>
    <n v="2"/>
    <s v="Y"/>
    <x v="1"/>
    <n v="14"/>
    <n v="3"/>
    <n v="3"/>
    <x v="0"/>
    <n v="1"/>
    <n v="26"/>
    <n v="2"/>
    <n v="3"/>
    <n v="11"/>
    <n v="4"/>
    <x v="0"/>
    <n v="8"/>
  </r>
  <r>
    <n v="34"/>
    <x v="1"/>
    <x v="0"/>
    <n v="131"/>
    <x v="0"/>
    <n v="2"/>
    <n v="3"/>
    <x v="3"/>
    <n v="1"/>
    <n v="1281"/>
    <n v="3"/>
    <x v="0"/>
    <n v="86"/>
    <n v="3"/>
    <x v="0"/>
    <s v="Sales Executive"/>
    <n v="1"/>
    <s v="Single"/>
    <x v="864"/>
    <n v="6039"/>
    <n v="0"/>
    <s v="Y"/>
    <x v="0"/>
    <n v="12"/>
    <n v="3"/>
    <n v="4"/>
    <x v="0"/>
    <n v="0"/>
    <n v="4"/>
    <n v="3"/>
    <n v="3"/>
    <n v="3"/>
    <n v="2"/>
    <x v="0"/>
    <n v="2"/>
  </r>
  <r>
    <n v="51"/>
    <x v="1"/>
    <x v="1"/>
    <n v="237"/>
    <x v="0"/>
    <n v="9"/>
    <n v="3"/>
    <x v="0"/>
    <n v="1"/>
    <n v="1282"/>
    <n v="4"/>
    <x v="1"/>
    <n v="83"/>
    <n v="3"/>
    <x v="4"/>
    <s v="Manager"/>
    <n v="2"/>
    <s v="Divorced"/>
    <x v="865"/>
    <n v="19196"/>
    <n v="4"/>
    <s v="Y"/>
    <x v="0"/>
    <n v="24"/>
    <n v="4"/>
    <n v="1"/>
    <x v="0"/>
    <n v="1"/>
    <n v="31"/>
    <n v="5"/>
    <n v="2"/>
    <n v="29"/>
    <n v="10"/>
    <x v="14"/>
    <n v="10"/>
  </r>
  <r>
    <n v="59"/>
    <x v="1"/>
    <x v="0"/>
    <n v="1429"/>
    <x v="1"/>
    <n v="18"/>
    <n v="4"/>
    <x v="2"/>
    <n v="1"/>
    <n v="1283"/>
    <n v="4"/>
    <x v="1"/>
    <n v="67"/>
    <n v="3"/>
    <x v="2"/>
    <s v="Manufacturing Director"/>
    <n v="4"/>
    <s v="Single"/>
    <x v="866"/>
    <n v="20002"/>
    <n v="6"/>
    <s v="Y"/>
    <x v="1"/>
    <n v="12"/>
    <n v="3"/>
    <n v="4"/>
    <x v="0"/>
    <n v="0"/>
    <n v="25"/>
    <n v="6"/>
    <n v="2"/>
    <n v="9"/>
    <n v="7"/>
    <x v="8"/>
    <n v="4"/>
  </r>
  <r>
    <n v="34"/>
    <x v="1"/>
    <x v="1"/>
    <n v="135"/>
    <x v="1"/>
    <n v="19"/>
    <n v="3"/>
    <x v="2"/>
    <n v="1"/>
    <n v="1285"/>
    <n v="3"/>
    <x v="0"/>
    <n v="46"/>
    <n v="3"/>
    <x v="0"/>
    <s v="Laboratory Technician"/>
    <n v="2"/>
    <s v="Divorced"/>
    <x v="867"/>
    <n v="22534"/>
    <n v="4"/>
    <s v="Y"/>
    <x v="1"/>
    <n v="13"/>
    <n v="3"/>
    <n v="3"/>
    <x v="0"/>
    <n v="2"/>
    <n v="15"/>
    <n v="2"/>
    <n v="4"/>
    <n v="11"/>
    <n v="8"/>
    <x v="8"/>
    <n v="10"/>
  </r>
  <r>
    <n v="28"/>
    <x v="1"/>
    <x v="1"/>
    <n v="791"/>
    <x v="1"/>
    <n v="1"/>
    <n v="4"/>
    <x v="2"/>
    <n v="1"/>
    <n v="1286"/>
    <n v="4"/>
    <x v="1"/>
    <n v="44"/>
    <n v="3"/>
    <x v="1"/>
    <s v="Laboratory Technician"/>
    <n v="3"/>
    <s v="Single"/>
    <x v="868"/>
    <n v="6842"/>
    <n v="0"/>
    <s v="Y"/>
    <x v="0"/>
    <n v="11"/>
    <n v="3"/>
    <n v="3"/>
    <x v="0"/>
    <n v="0"/>
    <n v="5"/>
    <n v="2"/>
    <n v="2"/>
    <n v="4"/>
    <n v="2"/>
    <x v="0"/>
    <n v="2"/>
  </r>
  <r>
    <n v="44"/>
    <x v="1"/>
    <x v="0"/>
    <n v="1199"/>
    <x v="1"/>
    <n v="4"/>
    <n v="2"/>
    <x v="0"/>
    <n v="1"/>
    <n v="1288"/>
    <n v="3"/>
    <x v="1"/>
    <n v="92"/>
    <n v="4"/>
    <x v="4"/>
    <s v="Manager"/>
    <n v="1"/>
    <s v="Divorced"/>
    <x v="869"/>
    <n v="17477"/>
    <n v="1"/>
    <s v="Y"/>
    <x v="1"/>
    <n v="14"/>
    <n v="3"/>
    <n v="4"/>
    <x v="0"/>
    <n v="2"/>
    <n v="26"/>
    <n v="4"/>
    <n v="2"/>
    <n v="25"/>
    <n v="9"/>
    <x v="15"/>
    <n v="13"/>
  </r>
  <r>
    <n v="34"/>
    <x v="1"/>
    <x v="1"/>
    <n v="648"/>
    <x v="2"/>
    <n v="11"/>
    <n v="3"/>
    <x v="0"/>
    <n v="1"/>
    <n v="1289"/>
    <n v="3"/>
    <x v="1"/>
    <n v="56"/>
    <n v="2"/>
    <x v="0"/>
    <s v="Human Resources"/>
    <n v="2"/>
    <s v="Married"/>
    <x v="870"/>
    <n v="21833"/>
    <n v="4"/>
    <s v="Y"/>
    <x v="1"/>
    <n v="11"/>
    <n v="3"/>
    <n v="4"/>
    <x v="0"/>
    <n v="2"/>
    <n v="14"/>
    <n v="5"/>
    <n v="4"/>
    <n v="10"/>
    <n v="9"/>
    <x v="1"/>
    <n v="8"/>
  </r>
  <r>
    <n v="35"/>
    <x v="1"/>
    <x v="0"/>
    <n v="735"/>
    <x v="1"/>
    <n v="6"/>
    <n v="1"/>
    <x v="0"/>
    <n v="1"/>
    <n v="1291"/>
    <n v="3"/>
    <x v="1"/>
    <n v="66"/>
    <n v="3"/>
    <x v="1"/>
    <s v="Research Scientist"/>
    <n v="3"/>
    <s v="Married"/>
    <x v="871"/>
    <n v="6020"/>
    <n v="0"/>
    <s v="Y"/>
    <x v="0"/>
    <n v="14"/>
    <n v="3"/>
    <n v="4"/>
    <x v="0"/>
    <n v="0"/>
    <n v="4"/>
    <n v="3"/>
    <n v="3"/>
    <n v="3"/>
    <n v="2"/>
    <x v="3"/>
    <n v="2"/>
  </r>
  <r>
    <n v="42"/>
    <x v="1"/>
    <x v="0"/>
    <n v="603"/>
    <x v="1"/>
    <n v="7"/>
    <n v="4"/>
    <x v="2"/>
    <n v="1"/>
    <n v="1292"/>
    <n v="2"/>
    <x v="0"/>
    <n v="78"/>
    <n v="4"/>
    <x v="0"/>
    <s v="Research Scientist"/>
    <n v="2"/>
    <s v="Married"/>
    <x v="872"/>
    <n v="5628"/>
    <n v="6"/>
    <s v="Y"/>
    <x v="0"/>
    <n v="16"/>
    <n v="3"/>
    <n v="4"/>
    <x v="0"/>
    <n v="0"/>
    <n v="18"/>
    <n v="2"/>
    <n v="3"/>
    <n v="1"/>
    <n v="0"/>
    <x v="0"/>
    <n v="0"/>
  </r>
  <r>
    <n v="43"/>
    <x v="1"/>
    <x v="0"/>
    <n v="531"/>
    <x v="0"/>
    <n v="4"/>
    <n v="4"/>
    <x v="3"/>
    <n v="1"/>
    <n v="1293"/>
    <n v="4"/>
    <x v="0"/>
    <n v="56"/>
    <n v="2"/>
    <x v="2"/>
    <s v="Sales Executive"/>
    <n v="4"/>
    <s v="Single"/>
    <x v="873"/>
    <n v="20364"/>
    <n v="3"/>
    <s v="Y"/>
    <x v="1"/>
    <n v="14"/>
    <n v="3"/>
    <n v="4"/>
    <x v="0"/>
    <n v="0"/>
    <n v="23"/>
    <n v="3"/>
    <n v="4"/>
    <n v="21"/>
    <n v="7"/>
    <x v="9"/>
    <n v="17"/>
  </r>
  <r>
    <n v="36"/>
    <x v="1"/>
    <x v="0"/>
    <n v="429"/>
    <x v="1"/>
    <n v="2"/>
    <n v="4"/>
    <x v="0"/>
    <n v="1"/>
    <n v="1294"/>
    <n v="3"/>
    <x v="0"/>
    <n v="53"/>
    <n v="3"/>
    <x v="0"/>
    <s v="Manufacturing Director"/>
    <n v="2"/>
    <s v="Single"/>
    <x v="874"/>
    <n v="2323"/>
    <n v="9"/>
    <s v="Y"/>
    <x v="0"/>
    <n v="11"/>
    <n v="3"/>
    <n v="4"/>
    <x v="0"/>
    <n v="0"/>
    <n v="18"/>
    <n v="2"/>
    <n v="3"/>
    <n v="16"/>
    <n v="14"/>
    <x v="8"/>
    <n v="12"/>
  </r>
  <r>
    <n v="44"/>
    <x v="0"/>
    <x v="0"/>
    <n v="621"/>
    <x v="1"/>
    <n v="15"/>
    <n v="3"/>
    <x v="2"/>
    <n v="1"/>
    <n v="1295"/>
    <n v="1"/>
    <x v="0"/>
    <n v="73"/>
    <n v="3"/>
    <x v="2"/>
    <s v="Healthcare Representative"/>
    <n v="4"/>
    <s v="Married"/>
    <x v="875"/>
    <n v="14075"/>
    <n v="1"/>
    <s v="Y"/>
    <x v="1"/>
    <n v="11"/>
    <n v="3"/>
    <n v="4"/>
    <x v="0"/>
    <n v="1"/>
    <n v="10"/>
    <n v="2"/>
    <n v="3"/>
    <n v="10"/>
    <n v="7"/>
    <x v="0"/>
    <n v="5"/>
  </r>
  <r>
    <n v="28"/>
    <x v="1"/>
    <x v="1"/>
    <n v="193"/>
    <x v="1"/>
    <n v="2"/>
    <n v="3"/>
    <x v="0"/>
    <n v="1"/>
    <n v="1296"/>
    <n v="4"/>
    <x v="1"/>
    <n v="52"/>
    <n v="2"/>
    <x v="1"/>
    <s v="Laboratory Technician"/>
    <n v="4"/>
    <s v="Married"/>
    <x v="876"/>
    <n v="14222"/>
    <n v="1"/>
    <s v="Y"/>
    <x v="0"/>
    <n v="12"/>
    <n v="3"/>
    <n v="2"/>
    <x v="0"/>
    <n v="1"/>
    <n v="2"/>
    <n v="2"/>
    <n v="3"/>
    <n v="2"/>
    <n v="2"/>
    <x v="3"/>
    <n v="2"/>
  </r>
  <r>
    <n v="51"/>
    <x v="1"/>
    <x v="1"/>
    <n v="968"/>
    <x v="1"/>
    <n v="6"/>
    <n v="2"/>
    <x v="2"/>
    <n v="1"/>
    <n v="1297"/>
    <n v="2"/>
    <x v="0"/>
    <n v="40"/>
    <n v="2"/>
    <x v="1"/>
    <s v="Laboratory Technician"/>
    <n v="3"/>
    <s v="Single"/>
    <x v="877"/>
    <n v="4257"/>
    <n v="0"/>
    <s v="Y"/>
    <x v="1"/>
    <n v="14"/>
    <n v="3"/>
    <n v="2"/>
    <x v="0"/>
    <n v="0"/>
    <n v="8"/>
    <n v="6"/>
    <n v="2"/>
    <n v="7"/>
    <n v="0"/>
    <x v="4"/>
    <n v="7"/>
  </r>
  <r>
    <n v="30"/>
    <x v="1"/>
    <x v="2"/>
    <n v="879"/>
    <x v="1"/>
    <n v="9"/>
    <n v="2"/>
    <x v="2"/>
    <n v="1"/>
    <n v="1298"/>
    <n v="3"/>
    <x v="0"/>
    <n v="72"/>
    <n v="3"/>
    <x v="0"/>
    <s v="Manufacturing Director"/>
    <n v="3"/>
    <s v="Single"/>
    <x v="878"/>
    <n v="12858"/>
    <n v="7"/>
    <s v="Y"/>
    <x v="0"/>
    <n v="18"/>
    <n v="3"/>
    <n v="3"/>
    <x v="0"/>
    <n v="0"/>
    <n v="10"/>
    <n v="3"/>
    <n v="3"/>
    <n v="8"/>
    <n v="4"/>
    <x v="1"/>
    <n v="7"/>
  </r>
  <r>
    <n v="29"/>
    <x v="0"/>
    <x v="0"/>
    <n v="806"/>
    <x v="1"/>
    <n v="7"/>
    <n v="3"/>
    <x v="4"/>
    <n v="1"/>
    <n v="1299"/>
    <n v="2"/>
    <x v="0"/>
    <n v="39"/>
    <n v="3"/>
    <x v="1"/>
    <s v="Laboratory Technician"/>
    <n v="3"/>
    <s v="Divorced"/>
    <x v="879"/>
    <n v="17285"/>
    <n v="3"/>
    <s v="Y"/>
    <x v="0"/>
    <n v="13"/>
    <n v="3"/>
    <n v="1"/>
    <x v="0"/>
    <n v="2"/>
    <n v="10"/>
    <n v="2"/>
    <n v="3"/>
    <n v="7"/>
    <n v="7"/>
    <x v="4"/>
    <n v="7"/>
  </r>
  <r>
    <n v="28"/>
    <x v="1"/>
    <x v="0"/>
    <n v="640"/>
    <x v="1"/>
    <n v="1"/>
    <n v="3"/>
    <x v="4"/>
    <n v="1"/>
    <n v="1301"/>
    <n v="4"/>
    <x v="1"/>
    <n v="84"/>
    <n v="3"/>
    <x v="1"/>
    <s v="Research Scientist"/>
    <n v="1"/>
    <s v="Single"/>
    <x v="880"/>
    <n v="4732"/>
    <n v="2"/>
    <s v="Y"/>
    <x v="1"/>
    <n v="11"/>
    <n v="3"/>
    <n v="2"/>
    <x v="0"/>
    <n v="0"/>
    <n v="5"/>
    <n v="2"/>
    <n v="2"/>
    <n v="3"/>
    <n v="2"/>
    <x v="1"/>
    <n v="2"/>
  </r>
  <r>
    <n v="25"/>
    <x v="1"/>
    <x v="0"/>
    <n v="266"/>
    <x v="1"/>
    <n v="1"/>
    <n v="3"/>
    <x v="2"/>
    <n v="1"/>
    <n v="1303"/>
    <n v="4"/>
    <x v="0"/>
    <n v="40"/>
    <n v="3"/>
    <x v="1"/>
    <s v="Research Scientist"/>
    <n v="2"/>
    <s v="Single"/>
    <x v="461"/>
    <n v="18830"/>
    <n v="1"/>
    <s v="Y"/>
    <x v="1"/>
    <n v="18"/>
    <n v="3"/>
    <n v="4"/>
    <x v="0"/>
    <n v="0"/>
    <n v="2"/>
    <n v="3"/>
    <n v="2"/>
    <n v="2"/>
    <n v="2"/>
    <x v="3"/>
    <n v="1"/>
  </r>
  <r>
    <n v="32"/>
    <x v="1"/>
    <x v="0"/>
    <n v="604"/>
    <x v="0"/>
    <n v="8"/>
    <n v="3"/>
    <x v="2"/>
    <n v="1"/>
    <n v="1304"/>
    <n v="3"/>
    <x v="1"/>
    <n v="56"/>
    <n v="4"/>
    <x v="0"/>
    <s v="Sales Executive"/>
    <n v="4"/>
    <s v="Married"/>
    <x v="881"/>
    <n v="11693"/>
    <n v="1"/>
    <s v="Y"/>
    <x v="1"/>
    <n v="15"/>
    <n v="3"/>
    <n v="3"/>
    <x v="0"/>
    <n v="2"/>
    <n v="10"/>
    <n v="4"/>
    <n v="4"/>
    <n v="10"/>
    <n v="7"/>
    <x v="0"/>
    <n v="8"/>
  </r>
  <r>
    <n v="45"/>
    <x v="1"/>
    <x v="1"/>
    <n v="364"/>
    <x v="1"/>
    <n v="25"/>
    <n v="3"/>
    <x v="2"/>
    <n v="1"/>
    <n v="1306"/>
    <n v="2"/>
    <x v="0"/>
    <n v="83"/>
    <n v="3"/>
    <x v="4"/>
    <s v="Manager"/>
    <n v="2"/>
    <s v="Single"/>
    <x v="882"/>
    <n v="13035"/>
    <n v="3"/>
    <s v="Y"/>
    <x v="1"/>
    <n v="22"/>
    <n v="4"/>
    <n v="3"/>
    <x v="0"/>
    <n v="0"/>
    <n v="22"/>
    <n v="4"/>
    <n v="3"/>
    <n v="0"/>
    <n v="0"/>
    <x v="0"/>
    <n v="0"/>
  </r>
  <r>
    <n v="39"/>
    <x v="1"/>
    <x v="0"/>
    <n v="412"/>
    <x v="1"/>
    <n v="13"/>
    <n v="4"/>
    <x v="2"/>
    <n v="1"/>
    <n v="1307"/>
    <n v="3"/>
    <x v="0"/>
    <n v="94"/>
    <n v="2"/>
    <x v="3"/>
    <s v="Manager"/>
    <n v="2"/>
    <s v="Divorced"/>
    <x v="883"/>
    <n v="17334"/>
    <n v="6"/>
    <s v="Y"/>
    <x v="0"/>
    <n v="13"/>
    <n v="3"/>
    <n v="4"/>
    <x v="0"/>
    <n v="2"/>
    <n v="21"/>
    <n v="4"/>
    <n v="3"/>
    <n v="19"/>
    <n v="9"/>
    <x v="9"/>
    <n v="2"/>
  </r>
  <r>
    <n v="58"/>
    <x v="1"/>
    <x v="0"/>
    <n v="848"/>
    <x v="1"/>
    <n v="23"/>
    <n v="4"/>
    <x v="0"/>
    <n v="1"/>
    <n v="1308"/>
    <n v="1"/>
    <x v="1"/>
    <n v="88"/>
    <n v="3"/>
    <x v="1"/>
    <s v="Research Scientist"/>
    <n v="3"/>
    <s v="Divorced"/>
    <x v="872"/>
    <n v="26076"/>
    <n v="1"/>
    <s v="Y"/>
    <x v="1"/>
    <n v="12"/>
    <n v="3"/>
    <n v="4"/>
    <x v="0"/>
    <n v="2"/>
    <n v="2"/>
    <n v="3"/>
    <n v="3"/>
    <n v="2"/>
    <n v="2"/>
    <x v="3"/>
    <n v="2"/>
  </r>
  <r>
    <n v="32"/>
    <x v="0"/>
    <x v="0"/>
    <n v="1089"/>
    <x v="1"/>
    <n v="7"/>
    <n v="2"/>
    <x v="0"/>
    <n v="1"/>
    <n v="1309"/>
    <n v="4"/>
    <x v="1"/>
    <n v="79"/>
    <n v="3"/>
    <x v="0"/>
    <s v="Laboratory Technician"/>
    <n v="3"/>
    <s v="Married"/>
    <x v="884"/>
    <n v="22845"/>
    <n v="1"/>
    <s v="Y"/>
    <x v="1"/>
    <n v="18"/>
    <n v="3"/>
    <n v="1"/>
    <x v="0"/>
    <n v="1"/>
    <n v="10"/>
    <n v="3"/>
    <n v="3"/>
    <n v="10"/>
    <n v="4"/>
    <x v="1"/>
    <n v="1"/>
  </r>
  <r>
    <n v="39"/>
    <x v="0"/>
    <x v="0"/>
    <n v="360"/>
    <x v="1"/>
    <n v="23"/>
    <n v="3"/>
    <x v="2"/>
    <n v="1"/>
    <n v="1310"/>
    <n v="3"/>
    <x v="1"/>
    <n v="93"/>
    <n v="3"/>
    <x v="1"/>
    <s v="Research Scientist"/>
    <n v="1"/>
    <s v="Single"/>
    <x v="885"/>
    <n v="22154"/>
    <n v="0"/>
    <s v="Y"/>
    <x v="1"/>
    <n v="13"/>
    <n v="3"/>
    <n v="1"/>
    <x v="0"/>
    <n v="0"/>
    <n v="6"/>
    <n v="2"/>
    <n v="3"/>
    <n v="5"/>
    <n v="2"/>
    <x v="0"/>
    <n v="3"/>
  </r>
  <r>
    <n v="30"/>
    <x v="1"/>
    <x v="0"/>
    <n v="1138"/>
    <x v="1"/>
    <n v="6"/>
    <n v="3"/>
    <x v="4"/>
    <n v="1"/>
    <n v="1311"/>
    <n v="1"/>
    <x v="0"/>
    <n v="48"/>
    <n v="2"/>
    <x v="0"/>
    <s v="Laboratory Technician"/>
    <n v="4"/>
    <s v="Married"/>
    <x v="886"/>
    <n v="23631"/>
    <n v="0"/>
    <s v="Y"/>
    <x v="1"/>
    <n v="12"/>
    <n v="3"/>
    <n v="1"/>
    <x v="0"/>
    <n v="1"/>
    <n v="10"/>
    <n v="6"/>
    <n v="3"/>
    <n v="9"/>
    <n v="2"/>
    <x v="7"/>
    <n v="7"/>
  </r>
  <r>
    <n v="36"/>
    <x v="1"/>
    <x v="0"/>
    <n v="325"/>
    <x v="1"/>
    <n v="10"/>
    <n v="4"/>
    <x v="4"/>
    <n v="1"/>
    <n v="1312"/>
    <n v="4"/>
    <x v="0"/>
    <n v="63"/>
    <n v="3"/>
    <x v="2"/>
    <s v="Healthcare Representative"/>
    <n v="3"/>
    <s v="Married"/>
    <x v="887"/>
    <n v="5747"/>
    <n v="3"/>
    <s v="Y"/>
    <x v="1"/>
    <n v="12"/>
    <n v="3"/>
    <n v="1"/>
    <x v="0"/>
    <n v="0"/>
    <n v="10"/>
    <n v="0"/>
    <n v="3"/>
    <n v="7"/>
    <n v="7"/>
    <x v="1"/>
    <n v="7"/>
  </r>
  <r>
    <n v="46"/>
    <x v="1"/>
    <x v="0"/>
    <n v="991"/>
    <x v="2"/>
    <n v="1"/>
    <n v="2"/>
    <x v="0"/>
    <n v="1"/>
    <n v="1314"/>
    <n v="4"/>
    <x v="0"/>
    <n v="44"/>
    <n v="3"/>
    <x v="1"/>
    <s v="Human Resources"/>
    <n v="1"/>
    <s v="Single"/>
    <x v="888"/>
    <n v="22957"/>
    <n v="6"/>
    <s v="Y"/>
    <x v="1"/>
    <n v="12"/>
    <n v="3"/>
    <n v="3"/>
    <x v="0"/>
    <n v="0"/>
    <n v="10"/>
    <n v="3"/>
    <n v="4"/>
    <n v="7"/>
    <n v="6"/>
    <x v="8"/>
    <n v="7"/>
  </r>
  <r>
    <n v="28"/>
    <x v="1"/>
    <x v="2"/>
    <n v="1476"/>
    <x v="1"/>
    <n v="1"/>
    <n v="3"/>
    <x v="0"/>
    <n v="1"/>
    <n v="1315"/>
    <n v="3"/>
    <x v="0"/>
    <n v="55"/>
    <n v="1"/>
    <x v="0"/>
    <s v="Laboratory Technician"/>
    <n v="4"/>
    <s v="Married"/>
    <x v="889"/>
    <n v="16392"/>
    <n v="0"/>
    <s v="Y"/>
    <x v="1"/>
    <n v="11"/>
    <n v="3"/>
    <n v="1"/>
    <x v="0"/>
    <n v="3"/>
    <n v="10"/>
    <n v="6"/>
    <n v="3"/>
    <n v="9"/>
    <n v="8"/>
    <x v="4"/>
    <n v="5"/>
  </r>
  <r>
    <n v="50"/>
    <x v="1"/>
    <x v="0"/>
    <n v="1322"/>
    <x v="1"/>
    <n v="28"/>
    <n v="3"/>
    <x v="0"/>
    <n v="1"/>
    <n v="1317"/>
    <n v="4"/>
    <x v="0"/>
    <n v="43"/>
    <n v="3"/>
    <x v="3"/>
    <s v="Research Director"/>
    <n v="1"/>
    <s v="Married"/>
    <x v="890"/>
    <n v="22422"/>
    <n v="4"/>
    <s v="Y"/>
    <x v="0"/>
    <n v="11"/>
    <n v="3"/>
    <n v="2"/>
    <x v="0"/>
    <n v="0"/>
    <n v="25"/>
    <n v="2"/>
    <n v="3"/>
    <n v="3"/>
    <n v="2"/>
    <x v="1"/>
    <n v="2"/>
  </r>
  <r>
    <n v="40"/>
    <x v="0"/>
    <x v="0"/>
    <n v="299"/>
    <x v="0"/>
    <n v="25"/>
    <n v="4"/>
    <x v="3"/>
    <n v="1"/>
    <n v="1318"/>
    <n v="4"/>
    <x v="1"/>
    <n v="57"/>
    <n v="2"/>
    <x v="2"/>
    <s v="Sales Executive"/>
    <n v="2"/>
    <s v="Single"/>
    <x v="891"/>
    <n v="17235"/>
    <n v="2"/>
    <s v="Y"/>
    <x v="0"/>
    <n v="12"/>
    <n v="3"/>
    <n v="3"/>
    <x v="0"/>
    <n v="0"/>
    <n v="9"/>
    <n v="2"/>
    <n v="3"/>
    <n v="5"/>
    <n v="4"/>
    <x v="1"/>
    <n v="0"/>
  </r>
  <r>
    <n v="52"/>
    <x v="0"/>
    <x v="0"/>
    <n v="1030"/>
    <x v="0"/>
    <n v="5"/>
    <n v="3"/>
    <x v="0"/>
    <n v="1"/>
    <n v="1319"/>
    <n v="2"/>
    <x v="1"/>
    <n v="64"/>
    <n v="3"/>
    <x v="2"/>
    <s v="Sales Executive"/>
    <n v="2"/>
    <s v="Single"/>
    <x v="892"/>
    <n v="21534"/>
    <n v="9"/>
    <s v="Y"/>
    <x v="0"/>
    <n v="19"/>
    <n v="3"/>
    <n v="3"/>
    <x v="0"/>
    <n v="0"/>
    <n v="10"/>
    <n v="2"/>
    <n v="2"/>
    <n v="8"/>
    <n v="7"/>
    <x v="4"/>
    <n v="7"/>
  </r>
  <r>
    <n v="30"/>
    <x v="1"/>
    <x v="0"/>
    <n v="634"/>
    <x v="1"/>
    <n v="17"/>
    <n v="4"/>
    <x v="2"/>
    <n v="1"/>
    <n v="1321"/>
    <n v="2"/>
    <x v="0"/>
    <n v="95"/>
    <n v="3"/>
    <x v="2"/>
    <s v="Manager"/>
    <n v="1"/>
    <s v="Married"/>
    <x v="893"/>
    <n v="25927"/>
    <n v="1"/>
    <s v="Y"/>
    <x v="0"/>
    <n v="23"/>
    <n v="4"/>
    <n v="4"/>
    <x v="0"/>
    <n v="2"/>
    <n v="9"/>
    <n v="2"/>
    <n v="3"/>
    <n v="9"/>
    <n v="1"/>
    <x v="0"/>
    <n v="8"/>
  </r>
  <r>
    <n v="39"/>
    <x v="1"/>
    <x v="0"/>
    <n v="524"/>
    <x v="1"/>
    <n v="18"/>
    <n v="2"/>
    <x v="0"/>
    <n v="1"/>
    <n v="1322"/>
    <n v="1"/>
    <x v="1"/>
    <n v="32"/>
    <n v="3"/>
    <x v="0"/>
    <s v="Manufacturing Director"/>
    <n v="3"/>
    <s v="Single"/>
    <x v="894"/>
    <n v="13352"/>
    <n v="0"/>
    <s v="Y"/>
    <x v="1"/>
    <n v="11"/>
    <n v="3"/>
    <n v="1"/>
    <x v="0"/>
    <n v="0"/>
    <n v="9"/>
    <n v="6"/>
    <n v="3"/>
    <n v="8"/>
    <n v="7"/>
    <x v="1"/>
    <n v="7"/>
  </r>
  <r>
    <n v="31"/>
    <x v="1"/>
    <x v="2"/>
    <n v="587"/>
    <x v="0"/>
    <n v="2"/>
    <n v="4"/>
    <x v="0"/>
    <n v="1"/>
    <n v="1324"/>
    <n v="4"/>
    <x v="0"/>
    <n v="57"/>
    <n v="3"/>
    <x v="2"/>
    <s v="Sales Executive"/>
    <n v="3"/>
    <s v="Divorced"/>
    <x v="895"/>
    <n v="8935"/>
    <n v="1"/>
    <s v="Y"/>
    <x v="0"/>
    <n v="19"/>
    <n v="3"/>
    <n v="1"/>
    <x v="0"/>
    <n v="1"/>
    <n v="10"/>
    <n v="5"/>
    <n v="2"/>
    <n v="10"/>
    <n v="8"/>
    <x v="10"/>
    <n v="6"/>
  </r>
  <r>
    <n v="41"/>
    <x v="1"/>
    <x v="2"/>
    <n v="256"/>
    <x v="0"/>
    <n v="10"/>
    <n v="2"/>
    <x v="2"/>
    <n v="1"/>
    <n v="1329"/>
    <n v="3"/>
    <x v="1"/>
    <n v="40"/>
    <n v="1"/>
    <x v="0"/>
    <s v="Sales Executive"/>
    <n v="2"/>
    <s v="Single"/>
    <x v="896"/>
    <n v="22074"/>
    <n v="1"/>
    <s v="Y"/>
    <x v="1"/>
    <n v="13"/>
    <n v="3"/>
    <n v="1"/>
    <x v="0"/>
    <n v="0"/>
    <n v="19"/>
    <n v="4"/>
    <n v="3"/>
    <n v="19"/>
    <n v="2"/>
    <x v="14"/>
    <n v="9"/>
  </r>
  <r>
    <n v="31"/>
    <x v="0"/>
    <x v="1"/>
    <n v="1060"/>
    <x v="0"/>
    <n v="1"/>
    <n v="3"/>
    <x v="0"/>
    <n v="1"/>
    <n v="1331"/>
    <n v="4"/>
    <x v="0"/>
    <n v="54"/>
    <n v="3"/>
    <x v="1"/>
    <s v="Sales Representative"/>
    <n v="2"/>
    <s v="Single"/>
    <x v="897"/>
    <n v="8319"/>
    <n v="1"/>
    <s v="Y"/>
    <x v="0"/>
    <n v="11"/>
    <n v="3"/>
    <n v="1"/>
    <x v="0"/>
    <n v="0"/>
    <n v="3"/>
    <n v="2"/>
    <n v="4"/>
    <n v="3"/>
    <n v="2"/>
    <x v="3"/>
    <n v="2"/>
  </r>
  <r>
    <n v="44"/>
    <x v="0"/>
    <x v="0"/>
    <n v="935"/>
    <x v="1"/>
    <n v="3"/>
    <n v="3"/>
    <x v="0"/>
    <n v="1"/>
    <n v="1333"/>
    <n v="1"/>
    <x v="1"/>
    <n v="89"/>
    <n v="3"/>
    <x v="1"/>
    <s v="Laboratory Technician"/>
    <n v="1"/>
    <s v="Married"/>
    <x v="898"/>
    <n v="14669"/>
    <n v="4"/>
    <s v="Y"/>
    <x v="1"/>
    <n v="12"/>
    <n v="3"/>
    <n v="3"/>
    <x v="0"/>
    <n v="0"/>
    <n v="10"/>
    <n v="4"/>
    <n v="4"/>
    <n v="3"/>
    <n v="2"/>
    <x v="1"/>
    <n v="2"/>
  </r>
  <r>
    <n v="42"/>
    <x v="1"/>
    <x v="2"/>
    <n v="495"/>
    <x v="1"/>
    <n v="2"/>
    <n v="1"/>
    <x v="0"/>
    <n v="1"/>
    <n v="1334"/>
    <n v="3"/>
    <x v="1"/>
    <n v="37"/>
    <n v="3"/>
    <x v="3"/>
    <s v="Manager"/>
    <n v="3"/>
    <s v="Married"/>
    <x v="417"/>
    <n v="26582"/>
    <n v="0"/>
    <s v="Y"/>
    <x v="0"/>
    <n v="13"/>
    <n v="3"/>
    <n v="4"/>
    <x v="0"/>
    <n v="0"/>
    <n v="21"/>
    <n v="3"/>
    <n v="2"/>
    <n v="20"/>
    <n v="8"/>
    <x v="3"/>
    <n v="10"/>
  </r>
  <r>
    <n v="55"/>
    <x v="1"/>
    <x v="0"/>
    <n v="282"/>
    <x v="1"/>
    <n v="2"/>
    <n v="2"/>
    <x v="2"/>
    <n v="1"/>
    <n v="1336"/>
    <n v="4"/>
    <x v="0"/>
    <n v="58"/>
    <n v="1"/>
    <x v="4"/>
    <s v="Manager"/>
    <n v="3"/>
    <s v="Married"/>
    <x v="899"/>
    <n v="6992"/>
    <n v="4"/>
    <s v="Y"/>
    <x v="1"/>
    <n v="14"/>
    <n v="3"/>
    <n v="4"/>
    <x v="0"/>
    <n v="1"/>
    <n v="23"/>
    <n v="5"/>
    <n v="3"/>
    <n v="19"/>
    <n v="9"/>
    <x v="10"/>
    <n v="11"/>
  </r>
  <r>
    <n v="56"/>
    <x v="1"/>
    <x v="0"/>
    <n v="206"/>
    <x v="2"/>
    <n v="8"/>
    <n v="4"/>
    <x v="0"/>
    <n v="1"/>
    <n v="1338"/>
    <n v="4"/>
    <x v="1"/>
    <n v="99"/>
    <n v="3"/>
    <x v="4"/>
    <s v="Manager"/>
    <n v="2"/>
    <s v="Single"/>
    <x v="900"/>
    <n v="4022"/>
    <n v="6"/>
    <s v="Y"/>
    <x v="1"/>
    <n v="14"/>
    <n v="3"/>
    <n v="1"/>
    <x v="0"/>
    <n v="0"/>
    <n v="36"/>
    <n v="4"/>
    <n v="3"/>
    <n v="7"/>
    <n v="3"/>
    <x v="4"/>
    <n v="7"/>
  </r>
  <r>
    <n v="40"/>
    <x v="1"/>
    <x v="2"/>
    <n v="458"/>
    <x v="1"/>
    <n v="16"/>
    <n v="2"/>
    <x v="0"/>
    <n v="1"/>
    <n v="1340"/>
    <n v="3"/>
    <x v="1"/>
    <n v="74"/>
    <n v="3"/>
    <x v="1"/>
    <s v="Research Scientist"/>
    <n v="3"/>
    <s v="Divorced"/>
    <x v="901"/>
    <n v="8532"/>
    <n v="9"/>
    <s v="Y"/>
    <x v="1"/>
    <n v="16"/>
    <n v="3"/>
    <n v="2"/>
    <x v="0"/>
    <n v="1"/>
    <n v="6"/>
    <n v="0"/>
    <n v="3"/>
    <n v="4"/>
    <n v="2"/>
    <x v="0"/>
    <n v="0"/>
  </r>
  <r>
    <n v="34"/>
    <x v="1"/>
    <x v="0"/>
    <n v="943"/>
    <x v="1"/>
    <n v="9"/>
    <n v="3"/>
    <x v="0"/>
    <n v="1"/>
    <n v="1344"/>
    <n v="4"/>
    <x v="1"/>
    <n v="86"/>
    <n v="3"/>
    <x v="2"/>
    <s v="Healthcare Representative"/>
    <n v="4"/>
    <s v="Divorced"/>
    <x v="902"/>
    <n v="5494"/>
    <n v="0"/>
    <s v="Y"/>
    <x v="1"/>
    <n v="11"/>
    <n v="3"/>
    <n v="4"/>
    <x v="0"/>
    <n v="1"/>
    <n v="10"/>
    <n v="0"/>
    <n v="2"/>
    <n v="9"/>
    <n v="7"/>
    <x v="1"/>
    <n v="6"/>
  </r>
  <r>
    <n v="40"/>
    <x v="1"/>
    <x v="0"/>
    <n v="523"/>
    <x v="1"/>
    <n v="2"/>
    <n v="3"/>
    <x v="0"/>
    <n v="1"/>
    <n v="1346"/>
    <n v="3"/>
    <x v="1"/>
    <n v="98"/>
    <n v="3"/>
    <x v="0"/>
    <s v="Research Scientist"/>
    <n v="4"/>
    <s v="Single"/>
    <x v="903"/>
    <n v="22455"/>
    <n v="1"/>
    <s v="Y"/>
    <x v="1"/>
    <n v="13"/>
    <n v="3"/>
    <n v="3"/>
    <x v="0"/>
    <n v="0"/>
    <n v="9"/>
    <n v="4"/>
    <n v="3"/>
    <n v="9"/>
    <n v="8"/>
    <x v="6"/>
    <n v="8"/>
  </r>
  <r>
    <n v="41"/>
    <x v="1"/>
    <x v="1"/>
    <n v="1018"/>
    <x v="0"/>
    <n v="1"/>
    <n v="3"/>
    <x v="3"/>
    <n v="1"/>
    <n v="1349"/>
    <n v="3"/>
    <x v="0"/>
    <n v="66"/>
    <n v="3"/>
    <x v="0"/>
    <s v="Sales Executive"/>
    <n v="1"/>
    <s v="Divorced"/>
    <x v="904"/>
    <n v="4297"/>
    <n v="0"/>
    <s v="Y"/>
    <x v="1"/>
    <n v="17"/>
    <n v="3"/>
    <n v="4"/>
    <x v="0"/>
    <n v="1"/>
    <n v="10"/>
    <n v="2"/>
    <n v="3"/>
    <n v="9"/>
    <n v="3"/>
    <x v="1"/>
    <n v="7"/>
  </r>
  <r>
    <n v="35"/>
    <x v="1"/>
    <x v="1"/>
    <n v="482"/>
    <x v="1"/>
    <n v="4"/>
    <n v="4"/>
    <x v="0"/>
    <n v="1"/>
    <n v="1350"/>
    <n v="3"/>
    <x v="1"/>
    <n v="87"/>
    <n v="3"/>
    <x v="0"/>
    <s v="Research Scientist"/>
    <n v="3"/>
    <s v="Single"/>
    <x v="905"/>
    <n v="2690"/>
    <n v="1"/>
    <s v="Y"/>
    <x v="0"/>
    <n v="11"/>
    <n v="3"/>
    <n v="2"/>
    <x v="0"/>
    <n v="0"/>
    <n v="9"/>
    <n v="3"/>
    <n v="3"/>
    <n v="9"/>
    <n v="6"/>
    <x v="1"/>
    <n v="1"/>
  </r>
  <r>
    <n v="51"/>
    <x v="1"/>
    <x v="0"/>
    <n v="770"/>
    <x v="2"/>
    <n v="5"/>
    <n v="3"/>
    <x v="0"/>
    <n v="1"/>
    <n v="1352"/>
    <n v="3"/>
    <x v="1"/>
    <n v="84"/>
    <n v="3"/>
    <x v="3"/>
    <s v="Manager"/>
    <n v="2"/>
    <s v="Divorced"/>
    <x v="906"/>
    <n v="17588"/>
    <n v="1"/>
    <s v="Y"/>
    <x v="0"/>
    <n v="11"/>
    <n v="3"/>
    <n v="2"/>
    <x v="0"/>
    <n v="1"/>
    <n v="33"/>
    <n v="2"/>
    <n v="3"/>
    <n v="33"/>
    <n v="9"/>
    <x v="0"/>
    <n v="10"/>
  </r>
  <r>
    <n v="38"/>
    <x v="1"/>
    <x v="0"/>
    <n v="1009"/>
    <x v="0"/>
    <n v="2"/>
    <n v="2"/>
    <x v="0"/>
    <n v="1"/>
    <n v="1355"/>
    <n v="2"/>
    <x v="0"/>
    <n v="31"/>
    <n v="3"/>
    <x v="0"/>
    <s v="Sales Executive"/>
    <n v="1"/>
    <s v="Divorced"/>
    <x v="907"/>
    <n v="19461"/>
    <n v="3"/>
    <s v="Y"/>
    <x v="1"/>
    <n v="15"/>
    <n v="3"/>
    <n v="4"/>
    <x v="0"/>
    <n v="1"/>
    <n v="11"/>
    <n v="3"/>
    <n v="3"/>
    <n v="7"/>
    <n v="7"/>
    <x v="1"/>
    <n v="7"/>
  </r>
  <r>
    <n v="34"/>
    <x v="1"/>
    <x v="0"/>
    <n v="507"/>
    <x v="0"/>
    <n v="15"/>
    <n v="2"/>
    <x v="2"/>
    <n v="1"/>
    <n v="1356"/>
    <n v="3"/>
    <x v="0"/>
    <n v="66"/>
    <n v="3"/>
    <x v="0"/>
    <s v="Sales Executive"/>
    <n v="1"/>
    <s v="Single"/>
    <x v="908"/>
    <n v="23553"/>
    <n v="1"/>
    <s v="Y"/>
    <x v="1"/>
    <n v="12"/>
    <n v="3"/>
    <n v="4"/>
    <x v="0"/>
    <n v="0"/>
    <n v="10"/>
    <n v="6"/>
    <n v="4"/>
    <n v="10"/>
    <n v="8"/>
    <x v="10"/>
    <n v="6"/>
  </r>
  <r>
    <n v="25"/>
    <x v="1"/>
    <x v="0"/>
    <n v="882"/>
    <x v="1"/>
    <n v="19"/>
    <n v="1"/>
    <x v="2"/>
    <n v="1"/>
    <n v="1358"/>
    <n v="4"/>
    <x v="1"/>
    <n v="67"/>
    <n v="3"/>
    <x v="1"/>
    <s v="Laboratory Technician"/>
    <n v="4"/>
    <s v="Married"/>
    <x v="909"/>
    <n v="9075"/>
    <n v="3"/>
    <s v="Y"/>
    <x v="1"/>
    <n v="11"/>
    <n v="3"/>
    <n v="3"/>
    <x v="0"/>
    <n v="3"/>
    <n v="7"/>
    <n v="6"/>
    <n v="2"/>
    <n v="3"/>
    <n v="2"/>
    <x v="1"/>
    <n v="2"/>
  </r>
  <r>
    <n v="58"/>
    <x v="0"/>
    <x v="0"/>
    <n v="601"/>
    <x v="1"/>
    <n v="7"/>
    <n v="4"/>
    <x v="2"/>
    <n v="1"/>
    <n v="1360"/>
    <n v="3"/>
    <x v="0"/>
    <n v="53"/>
    <n v="2"/>
    <x v="2"/>
    <s v="Manufacturing Director"/>
    <n v="1"/>
    <s v="Married"/>
    <x v="910"/>
    <n v="12023"/>
    <n v="7"/>
    <s v="Y"/>
    <x v="0"/>
    <n v="14"/>
    <n v="3"/>
    <n v="4"/>
    <x v="0"/>
    <n v="0"/>
    <n v="31"/>
    <n v="0"/>
    <n v="2"/>
    <n v="10"/>
    <n v="9"/>
    <x v="8"/>
    <n v="9"/>
  </r>
  <r>
    <n v="40"/>
    <x v="1"/>
    <x v="0"/>
    <n v="329"/>
    <x v="1"/>
    <n v="1"/>
    <n v="4"/>
    <x v="0"/>
    <n v="1"/>
    <n v="1361"/>
    <n v="2"/>
    <x v="1"/>
    <n v="88"/>
    <n v="3"/>
    <x v="1"/>
    <s v="Laboratory Technician"/>
    <n v="2"/>
    <s v="Married"/>
    <x v="911"/>
    <n v="6762"/>
    <n v="3"/>
    <s v="Y"/>
    <x v="1"/>
    <n v="22"/>
    <n v="4"/>
    <n v="3"/>
    <x v="0"/>
    <n v="1"/>
    <n v="7"/>
    <n v="3"/>
    <n v="3"/>
    <n v="4"/>
    <n v="2"/>
    <x v="0"/>
    <n v="3"/>
  </r>
  <r>
    <n v="36"/>
    <x v="1"/>
    <x v="1"/>
    <n v="607"/>
    <x v="0"/>
    <n v="7"/>
    <n v="3"/>
    <x v="3"/>
    <n v="1"/>
    <n v="1362"/>
    <n v="1"/>
    <x v="0"/>
    <n v="83"/>
    <n v="4"/>
    <x v="0"/>
    <s v="Sales Executive"/>
    <n v="1"/>
    <s v="Married"/>
    <x v="912"/>
    <n v="2261"/>
    <n v="2"/>
    <s v="Y"/>
    <x v="1"/>
    <n v="16"/>
    <n v="3"/>
    <n v="4"/>
    <x v="0"/>
    <n v="1"/>
    <n v="17"/>
    <n v="2"/>
    <n v="2"/>
    <n v="15"/>
    <n v="7"/>
    <x v="7"/>
    <n v="13"/>
  </r>
  <r>
    <n v="48"/>
    <x v="1"/>
    <x v="0"/>
    <n v="855"/>
    <x v="1"/>
    <n v="4"/>
    <n v="3"/>
    <x v="0"/>
    <n v="1"/>
    <n v="1363"/>
    <n v="4"/>
    <x v="1"/>
    <n v="54"/>
    <n v="3"/>
    <x v="2"/>
    <s v="Manufacturing Director"/>
    <n v="4"/>
    <s v="Single"/>
    <x v="913"/>
    <n v="18706"/>
    <n v="1"/>
    <s v="Y"/>
    <x v="1"/>
    <n v="11"/>
    <n v="3"/>
    <n v="3"/>
    <x v="0"/>
    <n v="0"/>
    <n v="11"/>
    <n v="2"/>
    <n v="3"/>
    <n v="10"/>
    <n v="9"/>
    <x v="0"/>
    <n v="8"/>
  </r>
  <r>
    <n v="27"/>
    <x v="1"/>
    <x v="0"/>
    <n v="1291"/>
    <x v="0"/>
    <n v="11"/>
    <n v="3"/>
    <x v="2"/>
    <n v="1"/>
    <n v="1364"/>
    <n v="3"/>
    <x v="0"/>
    <n v="98"/>
    <n v="4"/>
    <x v="1"/>
    <s v="Sales Representative"/>
    <n v="4"/>
    <s v="Married"/>
    <x v="914"/>
    <n v="6527"/>
    <n v="8"/>
    <s v="Y"/>
    <x v="1"/>
    <n v="14"/>
    <n v="3"/>
    <n v="2"/>
    <x v="0"/>
    <n v="1"/>
    <n v="5"/>
    <n v="4"/>
    <n v="3"/>
    <n v="1"/>
    <n v="0"/>
    <x v="0"/>
    <n v="0"/>
  </r>
  <r>
    <n v="51"/>
    <x v="1"/>
    <x v="0"/>
    <n v="1405"/>
    <x v="1"/>
    <n v="11"/>
    <n v="2"/>
    <x v="4"/>
    <n v="1"/>
    <n v="1367"/>
    <n v="4"/>
    <x v="0"/>
    <n v="82"/>
    <n v="2"/>
    <x v="3"/>
    <s v="Manufacturing Director"/>
    <n v="2"/>
    <s v="Single"/>
    <x v="915"/>
    <n v="24439"/>
    <n v="3"/>
    <s v="Y"/>
    <x v="1"/>
    <n v="16"/>
    <n v="3"/>
    <n v="2"/>
    <x v="0"/>
    <n v="0"/>
    <n v="29"/>
    <n v="1"/>
    <n v="2"/>
    <n v="5"/>
    <n v="2"/>
    <x v="0"/>
    <n v="3"/>
  </r>
  <r>
    <n v="18"/>
    <x v="1"/>
    <x v="2"/>
    <n v="1124"/>
    <x v="1"/>
    <n v="1"/>
    <n v="3"/>
    <x v="0"/>
    <n v="1"/>
    <n v="1368"/>
    <n v="4"/>
    <x v="0"/>
    <n v="97"/>
    <n v="3"/>
    <x v="1"/>
    <s v="Laboratory Technician"/>
    <n v="4"/>
    <s v="Single"/>
    <x v="916"/>
    <n v="19305"/>
    <n v="1"/>
    <s v="Y"/>
    <x v="1"/>
    <n v="15"/>
    <n v="3"/>
    <n v="3"/>
    <x v="0"/>
    <n v="0"/>
    <n v="0"/>
    <n v="5"/>
    <n v="4"/>
    <n v="0"/>
    <n v="0"/>
    <x v="0"/>
    <n v="0"/>
  </r>
  <r>
    <n v="35"/>
    <x v="1"/>
    <x v="0"/>
    <n v="817"/>
    <x v="1"/>
    <n v="1"/>
    <n v="3"/>
    <x v="2"/>
    <n v="1"/>
    <n v="1369"/>
    <n v="4"/>
    <x v="0"/>
    <n v="60"/>
    <n v="2"/>
    <x v="0"/>
    <s v="Laboratory Technician"/>
    <n v="4"/>
    <s v="Married"/>
    <x v="917"/>
    <n v="10846"/>
    <n v="0"/>
    <s v="Y"/>
    <x v="1"/>
    <n v="12"/>
    <n v="3"/>
    <n v="2"/>
    <x v="0"/>
    <n v="1"/>
    <n v="10"/>
    <n v="0"/>
    <n v="3"/>
    <n v="9"/>
    <n v="7"/>
    <x v="0"/>
    <n v="0"/>
  </r>
  <r>
    <n v="27"/>
    <x v="1"/>
    <x v="1"/>
    <n v="793"/>
    <x v="0"/>
    <n v="2"/>
    <n v="1"/>
    <x v="0"/>
    <n v="1"/>
    <n v="1371"/>
    <n v="4"/>
    <x v="1"/>
    <n v="43"/>
    <n v="1"/>
    <x v="0"/>
    <s v="Sales Executive"/>
    <n v="4"/>
    <s v="Single"/>
    <x v="918"/>
    <n v="20392"/>
    <n v="3"/>
    <s v="Y"/>
    <x v="1"/>
    <n v="20"/>
    <n v="4"/>
    <n v="2"/>
    <x v="0"/>
    <n v="0"/>
    <n v="8"/>
    <n v="3"/>
    <n v="3"/>
    <n v="6"/>
    <n v="2"/>
    <x v="0"/>
    <n v="0"/>
  </r>
  <r>
    <n v="55"/>
    <x v="0"/>
    <x v="0"/>
    <n v="267"/>
    <x v="0"/>
    <n v="13"/>
    <n v="4"/>
    <x v="3"/>
    <n v="1"/>
    <n v="1372"/>
    <n v="1"/>
    <x v="1"/>
    <n v="85"/>
    <n v="4"/>
    <x v="3"/>
    <s v="Sales Executive"/>
    <n v="3"/>
    <s v="Single"/>
    <x v="919"/>
    <n v="9277"/>
    <n v="6"/>
    <s v="Y"/>
    <x v="0"/>
    <n v="17"/>
    <n v="3"/>
    <n v="3"/>
    <x v="0"/>
    <n v="0"/>
    <n v="24"/>
    <n v="2"/>
    <n v="2"/>
    <n v="19"/>
    <n v="7"/>
    <x v="2"/>
    <n v="8"/>
  </r>
  <r>
    <n v="56"/>
    <x v="1"/>
    <x v="0"/>
    <n v="1369"/>
    <x v="1"/>
    <n v="23"/>
    <n v="3"/>
    <x v="0"/>
    <n v="1"/>
    <n v="1373"/>
    <n v="4"/>
    <x v="1"/>
    <n v="68"/>
    <n v="3"/>
    <x v="3"/>
    <s v="Manufacturing Director"/>
    <n v="2"/>
    <s v="Married"/>
    <x v="920"/>
    <n v="18235"/>
    <n v="4"/>
    <s v="Y"/>
    <x v="0"/>
    <n v="12"/>
    <n v="3"/>
    <n v="1"/>
    <x v="0"/>
    <n v="1"/>
    <n v="33"/>
    <n v="0"/>
    <n v="3"/>
    <n v="19"/>
    <n v="16"/>
    <x v="9"/>
    <n v="9"/>
  </r>
  <r>
    <n v="34"/>
    <x v="1"/>
    <x v="2"/>
    <n v="999"/>
    <x v="1"/>
    <n v="26"/>
    <n v="1"/>
    <x v="4"/>
    <n v="1"/>
    <n v="1374"/>
    <n v="1"/>
    <x v="0"/>
    <n v="92"/>
    <n v="2"/>
    <x v="1"/>
    <s v="Research Scientist"/>
    <n v="3"/>
    <s v="Divorced"/>
    <x v="921"/>
    <n v="15891"/>
    <n v="1"/>
    <s v="Y"/>
    <x v="1"/>
    <n v="20"/>
    <n v="4"/>
    <n v="3"/>
    <x v="0"/>
    <n v="3"/>
    <n v="5"/>
    <n v="2"/>
    <n v="3"/>
    <n v="5"/>
    <n v="4"/>
    <x v="0"/>
    <n v="0"/>
  </r>
  <r>
    <n v="40"/>
    <x v="1"/>
    <x v="0"/>
    <n v="1202"/>
    <x v="1"/>
    <n v="2"/>
    <n v="1"/>
    <x v="2"/>
    <n v="1"/>
    <n v="1375"/>
    <n v="2"/>
    <x v="0"/>
    <n v="89"/>
    <n v="4"/>
    <x v="0"/>
    <s v="Healthcare Representative"/>
    <n v="3"/>
    <s v="Divorced"/>
    <x v="922"/>
    <n v="13888"/>
    <n v="5"/>
    <s v="Y"/>
    <x v="1"/>
    <n v="20"/>
    <n v="4"/>
    <n v="2"/>
    <x v="0"/>
    <n v="3"/>
    <n v="15"/>
    <n v="0"/>
    <n v="3"/>
    <n v="12"/>
    <n v="11"/>
    <x v="14"/>
    <n v="8"/>
  </r>
  <r>
    <n v="34"/>
    <x v="1"/>
    <x v="0"/>
    <n v="285"/>
    <x v="1"/>
    <n v="29"/>
    <n v="3"/>
    <x v="2"/>
    <n v="1"/>
    <n v="1377"/>
    <n v="2"/>
    <x v="1"/>
    <n v="86"/>
    <n v="3"/>
    <x v="0"/>
    <s v="Laboratory Technician"/>
    <n v="3"/>
    <s v="Married"/>
    <x v="923"/>
    <n v="17491"/>
    <n v="4"/>
    <s v="Y"/>
    <x v="1"/>
    <n v="13"/>
    <n v="3"/>
    <n v="1"/>
    <x v="0"/>
    <n v="2"/>
    <n v="10"/>
    <n v="1"/>
    <n v="3"/>
    <n v="8"/>
    <n v="7"/>
    <x v="4"/>
    <n v="7"/>
  </r>
  <r>
    <n v="31"/>
    <x v="0"/>
    <x v="1"/>
    <n v="703"/>
    <x v="0"/>
    <n v="2"/>
    <n v="3"/>
    <x v="0"/>
    <n v="1"/>
    <n v="1379"/>
    <n v="3"/>
    <x v="0"/>
    <n v="90"/>
    <n v="2"/>
    <x v="1"/>
    <s v="Sales Representative"/>
    <n v="4"/>
    <s v="Single"/>
    <x v="924"/>
    <n v="11882"/>
    <n v="7"/>
    <s v="Y"/>
    <x v="1"/>
    <n v="14"/>
    <n v="3"/>
    <n v="3"/>
    <x v="0"/>
    <n v="0"/>
    <n v="3"/>
    <n v="3"/>
    <n v="4"/>
    <n v="1"/>
    <n v="0"/>
    <x v="0"/>
    <n v="0"/>
  </r>
  <r>
    <n v="35"/>
    <x v="0"/>
    <x v="1"/>
    <n v="662"/>
    <x v="0"/>
    <n v="18"/>
    <n v="4"/>
    <x v="3"/>
    <n v="1"/>
    <n v="1380"/>
    <n v="4"/>
    <x v="0"/>
    <n v="67"/>
    <n v="3"/>
    <x v="0"/>
    <s v="Sales Executive"/>
    <n v="3"/>
    <s v="Married"/>
    <x v="925"/>
    <n v="23288"/>
    <n v="0"/>
    <s v="Y"/>
    <x v="0"/>
    <n v="18"/>
    <n v="3"/>
    <n v="3"/>
    <x v="0"/>
    <n v="1"/>
    <n v="5"/>
    <n v="0"/>
    <n v="2"/>
    <n v="4"/>
    <n v="2"/>
    <x v="2"/>
    <n v="2"/>
  </r>
  <r>
    <n v="38"/>
    <x v="1"/>
    <x v="1"/>
    <n v="693"/>
    <x v="1"/>
    <n v="7"/>
    <n v="3"/>
    <x v="0"/>
    <n v="1"/>
    <n v="1382"/>
    <n v="4"/>
    <x v="1"/>
    <n v="57"/>
    <n v="4"/>
    <x v="1"/>
    <s v="Research Scientist"/>
    <n v="3"/>
    <s v="Divorced"/>
    <x v="353"/>
    <n v="15748"/>
    <n v="1"/>
    <s v="Y"/>
    <x v="1"/>
    <n v="11"/>
    <n v="3"/>
    <n v="4"/>
    <x v="0"/>
    <n v="3"/>
    <n v="4"/>
    <n v="2"/>
    <n v="3"/>
    <n v="4"/>
    <n v="2"/>
    <x v="0"/>
    <n v="3"/>
  </r>
  <r>
    <n v="34"/>
    <x v="1"/>
    <x v="0"/>
    <n v="404"/>
    <x v="1"/>
    <n v="2"/>
    <n v="4"/>
    <x v="4"/>
    <n v="1"/>
    <n v="1383"/>
    <n v="3"/>
    <x v="0"/>
    <n v="98"/>
    <n v="3"/>
    <x v="0"/>
    <s v="Healthcare Representative"/>
    <n v="4"/>
    <s v="Single"/>
    <x v="926"/>
    <n v="6163"/>
    <n v="1"/>
    <s v="Y"/>
    <x v="1"/>
    <n v="11"/>
    <n v="3"/>
    <n v="4"/>
    <x v="0"/>
    <n v="0"/>
    <n v="14"/>
    <n v="2"/>
    <n v="4"/>
    <n v="14"/>
    <n v="11"/>
    <x v="5"/>
    <n v="11"/>
  </r>
  <r>
    <n v="28"/>
    <x v="1"/>
    <x v="0"/>
    <n v="736"/>
    <x v="0"/>
    <n v="26"/>
    <n v="3"/>
    <x v="0"/>
    <n v="1"/>
    <n v="1387"/>
    <n v="3"/>
    <x v="1"/>
    <n v="48"/>
    <n v="2"/>
    <x v="0"/>
    <s v="Sales Executive"/>
    <n v="1"/>
    <s v="Married"/>
    <x v="927"/>
    <n v="24232"/>
    <n v="1"/>
    <s v="Y"/>
    <x v="1"/>
    <n v="11"/>
    <n v="3"/>
    <n v="3"/>
    <x v="0"/>
    <n v="1"/>
    <n v="5"/>
    <n v="0"/>
    <n v="3"/>
    <n v="5"/>
    <n v="3"/>
    <x v="0"/>
    <n v="4"/>
  </r>
  <r>
    <n v="31"/>
    <x v="0"/>
    <x v="0"/>
    <n v="330"/>
    <x v="1"/>
    <n v="22"/>
    <n v="4"/>
    <x v="2"/>
    <n v="1"/>
    <n v="1389"/>
    <n v="4"/>
    <x v="1"/>
    <n v="98"/>
    <n v="3"/>
    <x v="0"/>
    <s v="Manufacturing Director"/>
    <n v="3"/>
    <s v="Married"/>
    <x v="928"/>
    <n v="21057"/>
    <n v="1"/>
    <s v="Y"/>
    <x v="0"/>
    <n v="15"/>
    <n v="3"/>
    <n v="4"/>
    <x v="0"/>
    <n v="2"/>
    <n v="10"/>
    <n v="3"/>
    <n v="2"/>
    <n v="10"/>
    <n v="2"/>
    <x v="7"/>
    <n v="7"/>
  </r>
  <r>
    <n v="39"/>
    <x v="1"/>
    <x v="0"/>
    <n v="1498"/>
    <x v="0"/>
    <n v="21"/>
    <n v="4"/>
    <x v="0"/>
    <n v="1"/>
    <n v="1390"/>
    <n v="1"/>
    <x v="1"/>
    <n v="44"/>
    <n v="2"/>
    <x v="0"/>
    <s v="Sales Executive"/>
    <n v="4"/>
    <s v="Married"/>
    <x v="929"/>
    <n v="3567"/>
    <n v="3"/>
    <s v="Y"/>
    <x v="0"/>
    <n v="12"/>
    <n v="3"/>
    <n v="4"/>
    <x v="0"/>
    <n v="2"/>
    <n v="8"/>
    <n v="2"/>
    <n v="4"/>
    <n v="5"/>
    <n v="4"/>
    <x v="1"/>
    <n v="4"/>
  </r>
  <r>
    <n v="51"/>
    <x v="1"/>
    <x v="1"/>
    <n v="541"/>
    <x v="0"/>
    <n v="2"/>
    <n v="3"/>
    <x v="3"/>
    <n v="1"/>
    <n v="1391"/>
    <n v="2"/>
    <x v="1"/>
    <n v="52"/>
    <n v="3"/>
    <x v="2"/>
    <s v="Sales Executive"/>
    <n v="2"/>
    <s v="Married"/>
    <x v="930"/>
    <n v="15395"/>
    <n v="2"/>
    <s v="Y"/>
    <x v="1"/>
    <n v="11"/>
    <n v="3"/>
    <n v="2"/>
    <x v="0"/>
    <n v="0"/>
    <n v="14"/>
    <n v="5"/>
    <n v="3"/>
    <n v="4"/>
    <n v="2"/>
    <x v="2"/>
    <n v="2"/>
  </r>
  <r>
    <n v="41"/>
    <x v="1"/>
    <x v="1"/>
    <n v="1200"/>
    <x v="1"/>
    <n v="22"/>
    <n v="3"/>
    <x v="0"/>
    <n v="1"/>
    <n v="1392"/>
    <n v="4"/>
    <x v="0"/>
    <n v="75"/>
    <n v="3"/>
    <x v="0"/>
    <s v="Research Scientist"/>
    <n v="4"/>
    <s v="Divorced"/>
    <x v="931"/>
    <n v="13953"/>
    <n v="3"/>
    <s v="Y"/>
    <x v="0"/>
    <n v="14"/>
    <n v="3"/>
    <n v="1"/>
    <x v="0"/>
    <n v="2"/>
    <n v="12"/>
    <n v="4"/>
    <n v="2"/>
    <n v="6"/>
    <n v="2"/>
    <x v="2"/>
    <n v="3"/>
  </r>
  <r>
    <n v="37"/>
    <x v="1"/>
    <x v="0"/>
    <n v="1439"/>
    <x v="1"/>
    <n v="4"/>
    <n v="1"/>
    <x v="0"/>
    <n v="1"/>
    <n v="1394"/>
    <n v="3"/>
    <x v="1"/>
    <n v="54"/>
    <n v="3"/>
    <x v="1"/>
    <s v="Research Scientist"/>
    <n v="3"/>
    <s v="Married"/>
    <x v="932"/>
    <n v="5182"/>
    <n v="7"/>
    <s v="Y"/>
    <x v="0"/>
    <n v="15"/>
    <n v="3"/>
    <n v="4"/>
    <x v="0"/>
    <n v="0"/>
    <n v="8"/>
    <n v="2"/>
    <n v="3"/>
    <n v="6"/>
    <n v="4"/>
    <x v="1"/>
    <n v="3"/>
  </r>
  <r>
    <n v="33"/>
    <x v="1"/>
    <x v="1"/>
    <n v="1111"/>
    <x v="0"/>
    <n v="5"/>
    <n v="1"/>
    <x v="0"/>
    <n v="1"/>
    <n v="1395"/>
    <n v="2"/>
    <x v="1"/>
    <n v="61"/>
    <n v="3"/>
    <x v="0"/>
    <s v="Sales Executive"/>
    <n v="4"/>
    <s v="Married"/>
    <x v="933"/>
    <n v="19293"/>
    <n v="6"/>
    <s v="Y"/>
    <x v="1"/>
    <n v="13"/>
    <n v="3"/>
    <n v="1"/>
    <x v="0"/>
    <n v="0"/>
    <n v="8"/>
    <n v="2"/>
    <n v="4"/>
    <n v="5"/>
    <n v="4"/>
    <x v="1"/>
    <n v="2"/>
  </r>
  <r>
    <n v="32"/>
    <x v="1"/>
    <x v="0"/>
    <n v="499"/>
    <x v="0"/>
    <n v="2"/>
    <n v="1"/>
    <x v="3"/>
    <n v="1"/>
    <n v="1396"/>
    <n v="3"/>
    <x v="1"/>
    <n v="36"/>
    <n v="3"/>
    <x v="0"/>
    <s v="Sales Executive"/>
    <n v="2"/>
    <s v="Married"/>
    <x v="934"/>
    <n v="20497"/>
    <n v="0"/>
    <s v="Y"/>
    <x v="0"/>
    <n v="13"/>
    <n v="3"/>
    <n v="1"/>
    <x v="0"/>
    <n v="3"/>
    <n v="4"/>
    <n v="3"/>
    <n v="2"/>
    <n v="3"/>
    <n v="2"/>
    <x v="1"/>
    <n v="2"/>
  </r>
  <r>
    <n v="39"/>
    <x v="1"/>
    <x v="2"/>
    <n v="1485"/>
    <x v="1"/>
    <n v="25"/>
    <n v="2"/>
    <x v="0"/>
    <n v="1"/>
    <n v="1397"/>
    <n v="3"/>
    <x v="1"/>
    <n v="71"/>
    <n v="3"/>
    <x v="2"/>
    <s v="Healthcare Representative"/>
    <n v="3"/>
    <s v="Married"/>
    <x v="935"/>
    <n v="3449"/>
    <n v="3"/>
    <s v="Y"/>
    <x v="1"/>
    <n v="21"/>
    <n v="4"/>
    <n v="2"/>
    <x v="0"/>
    <n v="1"/>
    <n v="13"/>
    <n v="2"/>
    <n v="3"/>
    <n v="6"/>
    <n v="4"/>
    <x v="0"/>
    <n v="5"/>
  </r>
  <r>
    <n v="25"/>
    <x v="1"/>
    <x v="0"/>
    <n v="1372"/>
    <x v="0"/>
    <n v="18"/>
    <n v="1"/>
    <x v="0"/>
    <n v="1"/>
    <n v="1399"/>
    <n v="1"/>
    <x v="1"/>
    <n v="93"/>
    <n v="4"/>
    <x v="0"/>
    <s v="Sales Executive"/>
    <n v="3"/>
    <s v="Married"/>
    <x v="936"/>
    <n v="12477"/>
    <n v="2"/>
    <s v="Y"/>
    <x v="1"/>
    <n v="11"/>
    <n v="3"/>
    <n v="2"/>
    <x v="0"/>
    <n v="0"/>
    <n v="6"/>
    <n v="3"/>
    <n v="2"/>
    <n v="3"/>
    <n v="2"/>
    <x v="1"/>
    <n v="2"/>
  </r>
  <r>
    <n v="52"/>
    <x v="1"/>
    <x v="1"/>
    <n v="322"/>
    <x v="1"/>
    <n v="28"/>
    <n v="2"/>
    <x v="2"/>
    <n v="1"/>
    <n v="1401"/>
    <n v="4"/>
    <x v="0"/>
    <n v="59"/>
    <n v="4"/>
    <x v="3"/>
    <s v="Manufacturing Director"/>
    <n v="3"/>
    <s v="Married"/>
    <x v="937"/>
    <n v="9731"/>
    <n v="2"/>
    <s v="Y"/>
    <x v="0"/>
    <n v="11"/>
    <n v="3"/>
    <n v="2"/>
    <x v="0"/>
    <n v="1"/>
    <n v="24"/>
    <n v="3"/>
    <n v="2"/>
    <n v="5"/>
    <n v="3"/>
    <x v="0"/>
    <n v="2"/>
  </r>
  <r>
    <n v="43"/>
    <x v="1"/>
    <x v="0"/>
    <n v="930"/>
    <x v="1"/>
    <n v="6"/>
    <n v="3"/>
    <x v="2"/>
    <n v="1"/>
    <n v="1402"/>
    <n v="1"/>
    <x v="0"/>
    <n v="73"/>
    <n v="2"/>
    <x v="0"/>
    <s v="Research Scientist"/>
    <n v="3"/>
    <s v="Single"/>
    <x v="938"/>
    <n v="20003"/>
    <n v="1"/>
    <s v="Y"/>
    <x v="0"/>
    <n v="14"/>
    <n v="3"/>
    <n v="1"/>
    <x v="0"/>
    <n v="0"/>
    <n v="20"/>
    <n v="3"/>
    <n v="1"/>
    <n v="20"/>
    <n v="7"/>
    <x v="1"/>
    <n v="8"/>
  </r>
  <r>
    <n v="27"/>
    <x v="1"/>
    <x v="0"/>
    <n v="205"/>
    <x v="0"/>
    <n v="10"/>
    <n v="3"/>
    <x v="3"/>
    <n v="1"/>
    <n v="1403"/>
    <n v="4"/>
    <x v="0"/>
    <n v="98"/>
    <n v="2"/>
    <x v="0"/>
    <s v="Sales Executive"/>
    <n v="4"/>
    <s v="Married"/>
    <x v="939"/>
    <n v="7100"/>
    <n v="1"/>
    <s v="Y"/>
    <x v="0"/>
    <n v="11"/>
    <n v="3"/>
    <n v="4"/>
    <x v="0"/>
    <n v="0"/>
    <n v="6"/>
    <n v="3"/>
    <n v="3"/>
    <n v="6"/>
    <n v="2"/>
    <x v="5"/>
    <n v="4"/>
  </r>
  <r>
    <n v="27"/>
    <x v="0"/>
    <x v="0"/>
    <n v="135"/>
    <x v="1"/>
    <n v="17"/>
    <n v="4"/>
    <x v="0"/>
    <n v="1"/>
    <n v="1405"/>
    <n v="4"/>
    <x v="0"/>
    <n v="51"/>
    <n v="3"/>
    <x v="1"/>
    <s v="Research Scientist"/>
    <n v="3"/>
    <s v="Single"/>
    <x v="940"/>
    <n v="25681"/>
    <n v="1"/>
    <s v="Y"/>
    <x v="0"/>
    <n v="13"/>
    <n v="3"/>
    <n v="4"/>
    <x v="0"/>
    <n v="0"/>
    <n v="8"/>
    <n v="2"/>
    <n v="3"/>
    <n v="8"/>
    <n v="2"/>
    <x v="4"/>
    <n v="7"/>
  </r>
  <r>
    <n v="26"/>
    <x v="1"/>
    <x v="0"/>
    <n v="683"/>
    <x v="1"/>
    <n v="2"/>
    <n v="1"/>
    <x v="2"/>
    <n v="1"/>
    <n v="1407"/>
    <n v="1"/>
    <x v="1"/>
    <n v="36"/>
    <n v="2"/>
    <x v="1"/>
    <s v="Research Scientist"/>
    <n v="4"/>
    <s v="Single"/>
    <x v="885"/>
    <n v="4050"/>
    <n v="0"/>
    <s v="Y"/>
    <x v="1"/>
    <n v="12"/>
    <n v="3"/>
    <n v="4"/>
    <x v="0"/>
    <n v="0"/>
    <n v="5"/>
    <n v="2"/>
    <n v="3"/>
    <n v="4"/>
    <n v="3"/>
    <x v="1"/>
    <n v="1"/>
  </r>
  <r>
    <n v="42"/>
    <x v="1"/>
    <x v="0"/>
    <n v="1147"/>
    <x v="2"/>
    <n v="10"/>
    <n v="3"/>
    <x v="5"/>
    <n v="1"/>
    <n v="1408"/>
    <n v="3"/>
    <x v="0"/>
    <n v="31"/>
    <n v="3"/>
    <x v="3"/>
    <s v="Manager"/>
    <n v="1"/>
    <s v="Married"/>
    <x v="941"/>
    <n v="16616"/>
    <n v="0"/>
    <s v="Y"/>
    <x v="1"/>
    <n v="14"/>
    <n v="3"/>
    <n v="3"/>
    <x v="0"/>
    <n v="1"/>
    <n v="21"/>
    <n v="5"/>
    <n v="3"/>
    <n v="20"/>
    <n v="7"/>
    <x v="0"/>
    <n v="9"/>
  </r>
  <r>
    <n v="52"/>
    <x v="1"/>
    <x v="0"/>
    <n v="258"/>
    <x v="1"/>
    <n v="8"/>
    <n v="4"/>
    <x v="1"/>
    <n v="1"/>
    <n v="1409"/>
    <n v="3"/>
    <x v="0"/>
    <n v="54"/>
    <n v="3"/>
    <x v="1"/>
    <s v="Laboratory Technician"/>
    <n v="1"/>
    <s v="Married"/>
    <x v="942"/>
    <n v="17363"/>
    <n v="9"/>
    <s v="Y"/>
    <x v="1"/>
    <n v="13"/>
    <n v="3"/>
    <n v="3"/>
    <x v="0"/>
    <n v="0"/>
    <n v="12"/>
    <n v="2"/>
    <n v="1"/>
    <n v="5"/>
    <n v="4"/>
    <x v="0"/>
    <n v="4"/>
  </r>
  <r>
    <n v="37"/>
    <x v="1"/>
    <x v="0"/>
    <n v="1462"/>
    <x v="1"/>
    <n v="11"/>
    <n v="3"/>
    <x v="2"/>
    <n v="1"/>
    <n v="1411"/>
    <n v="1"/>
    <x v="0"/>
    <n v="94"/>
    <n v="3"/>
    <x v="1"/>
    <s v="Laboratory Technician"/>
    <n v="3"/>
    <s v="Single"/>
    <x v="943"/>
    <n v="19106"/>
    <n v="4"/>
    <s v="Y"/>
    <x v="1"/>
    <n v="18"/>
    <n v="3"/>
    <n v="1"/>
    <x v="0"/>
    <n v="0"/>
    <n v="8"/>
    <n v="6"/>
    <n v="3"/>
    <n v="3"/>
    <n v="2"/>
    <x v="0"/>
    <n v="2"/>
  </r>
  <r>
    <n v="35"/>
    <x v="1"/>
    <x v="1"/>
    <n v="200"/>
    <x v="1"/>
    <n v="18"/>
    <n v="2"/>
    <x v="0"/>
    <n v="1"/>
    <n v="1412"/>
    <n v="3"/>
    <x v="1"/>
    <n v="60"/>
    <n v="3"/>
    <x v="2"/>
    <s v="Manufacturing Director"/>
    <n v="4"/>
    <s v="Single"/>
    <x v="944"/>
    <n v="19944"/>
    <n v="2"/>
    <s v="Y"/>
    <x v="1"/>
    <n v="11"/>
    <n v="3"/>
    <n v="3"/>
    <x v="0"/>
    <n v="0"/>
    <n v="10"/>
    <n v="2"/>
    <n v="3"/>
    <n v="2"/>
    <n v="2"/>
    <x v="3"/>
    <n v="2"/>
  </r>
  <r>
    <n v="25"/>
    <x v="1"/>
    <x v="0"/>
    <n v="949"/>
    <x v="1"/>
    <n v="1"/>
    <n v="3"/>
    <x v="4"/>
    <n v="1"/>
    <n v="1415"/>
    <n v="1"/>
    <x v="1"/>
    <n v="81"/>
    <n v="3"/>
    <x v="1"/>
    <s v="Laboratory Technician"/>
    <n v="4"/>
    <s v="Married"/>
    <x v="945"/>
    <n v="4910"/>
    <n v="4"/>
    <s v="Y"/>
    <x v="1"/>
    <n v="11"/>
    <n v="3"/>
    <n v="2"/>
    <x v="0"/>
    <n v="1"/>
    <n v="7"/>
    <n v="2"/>
    <n v="2"/>
    <n v="3"/>
    <n v="2"/>
    <x v="0"/>
    <n v="2"/>
  </r>
  <r>
    <n v="26"/>
    <x v="1"/>
    <x v="0"/>
    <n v="652"/>
    <x v="1"/>
    <n v="7"/>
    <n v="3"/>
    <x v="1"/>
    <n v="1"/>
    <n v="1417"/>
    <n v="3"/>
    <x v="1"/>
    <n v="100"/>
    <n v="4"/>
    <x v="1"/>
    <s v="Laboratory Technician"/>
    <n v="1"/>
    <s v="Single"/>
    <x v="946"/>
    <n v="23577"/>
    <n v="0"/>
    <s v="Y"/>
    <x v="1"/>
    <n v="12"/>
    <n v="3"/>
    <n v="4"/>
    <x v="0"/>
    <n v="0"/>
    <n v="8"/>
    <n v="2"/>
    <n v="3"/>
    <n v="7"/>
    <n v="7"/>
    <x v="0"/>
    <n v="7"/>
  </r>
  <r>
    <n v="29"/>
    <x v="1"/>
    <x v="0"/>
    <n v="332"/>
    <x v="2"/>
    <n v="17"/>
    <n v="3"/>
    <x v="1"/>
    <n v="1"/>
    <n v="1419"/>
    <n v="2"/>
    <x v="1"/>
    <n v="51"/>
    <n v="2"/>
    <x v="2"/>
    <s v="Human Resources"/>
    <n v="1"/>
    <s v="Single"/>
    <x v="947"/>
    <n v="9769"/>
    <n v="1"/>
    <s v="Y"/>
    <x v="1"/>
    <n v="13"/>
    <n v="3"/>
    <n v="1"/>
    <x v="0"/>
    <n v="0"/>
    <n v="10"/>
    <n v="3"/>
    <n v="2"/>
    <n v="10"/>
    <n v="9"/>
    <x v="0"/>
    <n v="9"/>
  </r>
  <r>
    <n v="49"/>
    <x v="0"/>
    <x v="1"/>
    <n v="1475"/>
    <x v="1"/>
    <n v="28"/>
    <n v="2"/>
    <x v="0"/>
    <n v="1"/>
    <n v="1420"/>
    <n v="1"/>
    <x v="1"/>
    <n v="97"/>
    <n v="2"/>
    <x v="0"/>
    <s v="Laboratory Technician"/>
    <n v="1"/>
    <s v="Single"/>
    <x v="948"/>
    <n v="22710"/>
    <n v="3"/>
    <s v="Y"/>
    <x v="1"/>
    <n v="20"/>
    <n v="4"/>
    <n v="1"/>
    <x v="0"/>
    <n v="0"/>
    <n v="20"/>
    <n v="2"/>
    <n v="3"/>
    <n v="4"/>
    <n v="3"/>
    <x v="1"/>
    <n v="3"/>
  </r>
  <r>
    <n v="29"/>
    <x v="0"/>
    <x v="1"/>
    <n v="337"/>
    <x v="1"/>
    <n v="14"/>
    <n v="1"/>
    <x v="1"/>
    <n v="1"/>
    <n v="1421"/>
    <n v="3"/>
    <x v="0"/>
    <n v="84"/>
    <n v="3"/>
    <x v="2"/>
    <s v="Healthcare Representative"/>
    <n v="4"/>
    <s v="Single"/>
    <x v="949"/>
    <n v="22930"/>
    <n v="0"/>
    <s v="Y"/>
    <x v="0"/>
    <n v="12"/>
    <n v="3"/>
    <n v="1"/>
    <x v="0"/>
    <n v="0"/>
    <n v="9"/>
    <n v="1"/>
    <n v="3"/>
    <n v="8"/>
    <n v="7"/>
    <x v="4"/>
    <n v="7"/>
  </r>
  <r>
    <n v="54"/>
    <x v="1"/>
    <x v="0"/>
    <n v="971"/>
    <x v="1"/>
    <n v="1"/>
    <n v="3"/>
    <x v="2"/>
    <n v="1"/>
    <n v="1422"/>
    <n v="4"/>
    <x v="0"/>
    <n v="54"/>
    <n v="3"/>
    <x v="3"/>
    <s v="Research Director"/>
    <n v="4"/>
    <s v="Single"/>
    <x v="109"/>
    <n v="5652"/>
    <n v="6"/>
    <s v="Y"/>
    <x v="1"/>
    <n v="19"/>
    <n v="3"/>
    <n v="4"/>
    <x v="0"/>
    <n v="0"/>
    <n v="29"/>
    <n v="3"/>
    <n v="2"/>
    <n v="20"/>
    <n v="7"/>
    <x v="12"/>
    <n v="7"/>
  </r>
  <r>
    <n v="58"/>
    <x v="1"/>
    <x v="0"/>
    <n v="1055"/>
    <x v="1"/>
    <n v="1"/>
    <n v="3"/>
    <x v="2"/>
    <n v="1"/>
    <n v="1423"/>
    <n v="4"/>
    <x v="0"/>
    <n v="76"/>
    <n v="3"/>
    <x v="4"/>
    <s v="Research Director"/>
    <n v="1"/>
    <s v="Married"/>
    <x v="950"/>
    <n v="22456"/>
    <n v="3"/>
    <s v="Y"/>
    <x v="0"/>
    <n v="21"/>
    <n v="4"/>
    <n v="3"/>
    <x v="0"/>
    <n v="1"/>
    <n v="32"/>
    <n v="3"/>
    <n v="3"/>
    <n v="9"/>
    <n v="8"/>
    <x v="1"/>
    <n v="5"/>
  </r>
  <r>
    <n v="55"/>
    <x v="1"/>
    <x v="0"/>
    <n v="1136"/>
    <x v="1"/>
    <n v="1"/>
    <n v="4"/>
    <x v="2"/>
    <n v="1"/>
    <n v="1424"/>
    <n v="2"/>
    <x v="1"/>
    <n v="81"/>
    <n v="4"/>
    <x v="3"/>
    <s v="Research Director"/>
    <n v="4"/>
    <s v="Divorced"/>
    <x v="951"/>
    <n v="12414"/>
    <n v="2"/>
    <s v="Y"/>
    <x v="1"/>
    <n v="13"/>
    <n v="3"/>
    <n v="4"/>
    <x v="0"/>
    <n v="2"/>
    <n v="31"/>
    <n v="4"/>
    <n v="4"/>
    <n v="7"/>
    <n v="7"/>
    <x v="0"/>
    <n v="0"/>
  </r>
  <r>
    <n v="36"/>
    <x v="1"/>
    <x v="0"/>
    <n v="1174"/>
    <x v="0"/>
    <n v="3"/>
    <n v="4"/>
    <x v="3"/>
    <n v="1"/>
    <n v="1425"/>
    <n v="1"/>
    <x v="0"/>
    <n v="99"/>
    <n v="3"/>
    <x v="0"/>
    <s v="Sales Executive"/>
    <n v="2"/>
    <s v="Single"/>
    <x v="952"/>
    <n v="20763"/>
    <n v="3"/>
    <s v="Y"/>
    <x v="0"/>
    <n v="16"/>
    <n v="3"/>
    <n v="4"/>
    <x v="0"/>
    <n v="0"/>
    <n v="15"/>
    <n v="3"/>
    <n v="3"/>
    <n v="5"/>
    <n v="4"/>
    <x v="0"/>
    <n v="1"/>
  </r>
  <r>
    <n v="31"/>
    <x v="0"/>
    <x v="1"/>
    <n v="667"/>
    <x v="0"/>
    <n v="1"/>
    <n v="4"/>
    <x v="0"/>
    <n v="1"/>
    <n v="1427"/>
    <n v="2"/>
    <x v="0"/>
    <n v="50"/>
    <n v="1"/>
    <x v="1"/>
    <s v="Sales Representative"/>
    <n v="3"/>
    <s v="Single"/>
    <x v="953"/>
    <n v="16154"/>
    <n v="1"/>
    <s v="Y"/>
    <x v="1"/>
    <n v="12"/>
    <n v="3"/>
    <n v="2"/>
    <x v="0"/>
    <n v="0"/>
    <n v="1"/>
    <n v="3"/>
    <n v="3"/>
    <n v="1"/>
    <n v="0"/>
    <x v="0"/>
    <n v="0"/>
  </r>
  <r>
    <n v="30"/>
    <x v="1"/>
    <x v="0"/>
    <n v="855"/>
    <x v="0"/>
    <n v="7"/>
    <n v="4"/>
    <x v="3"/>
    <n v="1"/>
    <n v="1428"/>
    <n v="4"/>
    <x v="0"/>
    <n v="73"/>
    <n v="3"/>
    <x v="0"/>
    <s v="Sales Executive"/>
    <n v="1"/>
    <s v="Divorced"/>
    <x v="586"/>
    <n v="12761"/>
    <n v="7"/>
    <s v="Y"/>
    <x v="1"/>
    <n v="14"/>
    <n v="3"/>
    <n v="2"/>
    <x v="0"/>
    <n v="2"/>
    <n v="8"/>
    <n v="3"/>
    <n v="3"/>
    <n v="3"/>
    <n v="2"/>
    <x v="0"/>
    <n v="2"/>
  </r>
  <r>
    <n v="31"/>
    <x v="1"/>
    <x v="0"/>
    <n v="182"/>
    <x v="1"/>
    <n v="8"/>
    <n v="5"/>
    <x v="0"/>
    <n v="1"/>
    <n v="1430"/>
    <n v="1"/>
    <x v="0"/>
    <n v="93"/>
    <n v="3"/>
    <x v="3"/>
    <s v="Research Director"/>
    <n v="2"/>
    <s v="Single"/>
    <x v="954"/>
    <n v="8847"/>
    <n v="3"/>
    <s v="Y"/>
    <x v="1"/>
    <n v="11"/>
    <n v="3"/>
    <n v="3"/>
    <x v="0"/>
    <n v="0"/>
    <n v="9"/>
    <n v="3"/>
    <n v="4"/>
    <n v="3"/>
    <n v="2"/>
    <x v="1"/>
    <n v="0"/>
  </r>
  <r>
    <n v="34"/>
    <x v="1"/>
    <x v="1"/>
    <n v="560"/>
    <x v="1"/>
    <n v="1"/>
    <n v="4"/>
    <x v="1"/>
    <n v="1"/>
    <n v="1431"/>
    <n v="4"/>
    <x v="1"/>
    <n v="91"/>
    <n v="3"/>
    <x v="1"/>
    <s v="Research Scientist"/>
    <n v="1"/>
    <s v="Divorced"/>
    <x v="932"/>
    <n v="20284"/>
    <n v="5"/>
    <s v="Y"/>
    <x v="1"/>
    <n v="14"/>
    <n v="3"/>
    <n v="3"/>
    <x v="0"/>
    <n v="2"/>
    <n v="10"/>
    <n v="2"/>
    <n v="3"/>
    <n v="4"/>
    <n v="3"/>
    <x v="1"/>
    <n v="3"/>
  </r>
  <r>
    <n v="31"/>
    <x v="0"/>
    <x v="0"/>
    <n v="202"/>
    <x v="1"/>
    <n v="8"/>
    <n v="3"/>
    <x v="0"/>
    <n v="1"/>
    <n v="1433"/>
    <n v="1"/>
    <x v="0"/>
    <n v="34"/>
    <n v="2"/>
    <x v="1"/>
    <s v="Research Scientist"/>
    <n v="2"/>
    <s v="Single"/>
    <x v="955"/>
    <n v="22262"/>
    <n v="1"/>
    <s v="Y"/>
    <x v="1"/>
    <n v="12"/>
    <n v="3"/>
    <n v="3"/>
    <x v="0"/>
    <n v="0"/>
    <n v="1"/>
    <n v="3"/>
    <n v="4"/>
    <n v="1"/>
    <n v="0"/>
    <x v="0"/>
    <n v="0"/>
  </r>
  <r>
    <n v="27"/>
    <x v="1"/>
    <x v="0"/>
    <n v="1377"/>
    <x v="1"/>
    <n v="11"/>
    <n v="1"/>
    <x v="0"/>
    <n v="1"/>
    <n v="1434"/>
    <n v="2"/>
    <x v="1"/>
    <n v="91"/>
    <n v="3"/>
    <x v="1"/>
    <s v="Laboratory Technician"/>
    <n v="1"/>
    <s v="Married"/>
    <x v="956"/>
    <n v="7679"/>
    <n v="0"/>
    <s v="Y"/>
    <x v="1"/>
    <n v="14"/>
    <n v="3"/>
    <n v="2"/>
    <x v="0"/>
    <n v="0"/>
    <n v="6"/>
    <n v="3"/>
    <n v="4"/>
    <n v="5"/>
    <n v="0"/>
    <x v="1"/>
    <n v="4"/>
  </r>
  <r>
    <n v="36"/>
    <x v="1"/>
    <x v="0"/>
    <n v="172"/>
    <x v="1"/>
    <n v="4"/>
    <n v="4"/>
    <x v="0"/>
    <n v="1"/>
    <n v="1435"/>
    <n v="1"/>
    <x v="1"/>
    <n v="37"/>
    <n v="2"/>
    <x v="0"/>
    <s v="Laboratory Technician"/>
    <n v="4"/>
    <s v="Single"/>
    <x v="957"/>
    <n v="22604"/>
    <n v="1"/>
    <s v="Y"/>
    <x v="1"/>
    <n v="16"/>
    <n v="3"/>
    <n v="3"/>
    <x v="0"/>
    <n v="0"/>
    <n v="10"/>
    <n v="2"/>
    <n v="2"/>
    <n v="10"/>
    <n v="4"/>
    <x v="1"/>
    <n v="8"/>
  </r>
  <r>
    <n v="36"/>
    <x v="1"/>
    <x v="0"/>
    <n v="329"/>
    <x v="0"/>
    <n v="16"/>
    <n v="4"/>
    <x v="3"/>
    <n v="1"/>
    <n v="1436"/>
    <n v="3"/>
    <x v="0"/>
    <n v="98"/>
    <n v="2"/>
    <x v="0"/>
    <s v="Sales Executive"/>
    <n v="1"/>
    <s v="Married"/>
    <x v="958"/>
    <n v="13494"/>
    <n v="4"/>
    <s v="Y"/>
    <x v="1"/>
    <n v="13"/>
    <n v="3"/>
    <n v="1"/>
    <x v="0"/>
    <n v="2"/>
    <n v="11"/>
    <n v="3"/>
    <n v="2"/>
    <n v="3"/>
    <n v="2"/>
    <x v="0"/>
    <n v="2"/>
  </r>
  <r>
    <n v="47"/>
    <x v="1"/>
    <x v="0"/>
    <n v="465"/>
    <x v="1"/>
    <n v="1"/>
    <n v="3"/>
    <x v="4"/>
    <n v="1"/>
    <n v="1438"/>
    <n v="1"/>
    <x v="1"/>
    <n v="74"/>
    <n v="3"/>
    <x v="1"/>
    <s v="Research Scientist"/>
    <n v="4"/>
    <s v="Married"/>
    <x v="959"/>
    <n v="10205"/>
    <n v="7"/>
    <s v="Y"/>
    <x v="1"/>
    <n v="12"/>
    <n v="3"/>
    <n v="3"/>
    <x v="0"/>
    <n v="1"/>
    <n v="17"/>
    <n v="2"/>
    <n v="2"/>
    <n v="6"/>
    <n v="5"/>
    <x v="1"/>
    <n v="2"/>
  </r>
  <r>
    <n v="25"/>
    <x v="0"/>
    <x v="0"/>
    <n v="383"/>
    <x v="0"/>
    <n v="9"/>
    <n v="2"/>
    <x v="0"/>
    <n v="1"/>
    <n v="1439"/>
    <n v="1"/>
    <x v="1"/>
    <n v="68"/>
    <n v="2"/>
    <x v="1"/>
    <s v="Sales Representative"/>
    <n v="1"/>
    <s v="Married"/>
    <x v="960"/>
    <n v="15182"/>
    <n v="3"/>
    <s v="Y"/>
    <x v="1"/>
    <n v="12"/>
    <n v="3"/>
    <n v="1"/>
    <x v="0"/>
    <n v="0"/>
    <n v="6"/>
    <n v="2"/>
    <n v="3"/>
    <n v="3"/>
    <n v="2"/>
    <x v="3"/>
    <n v="2"/>
  </r>
  <r>
    <n v="37"/>
    <x v="1"/>
    <x v="2"/>
    <n v="1413"/>
    <x v="1"/>
    <n v="5"/>
    <n v="2"/>
    <x v="4"/>
    <n v="1"/>
    <n v="1440"/>
    <n v="3"/>
    <x v="1"/>
    <n v="84"/>
    <n v="4"/>
    <x v="1"/>
    <s v="Laboratory Technician"/>
    <n v="3"/>
    <s v="Single"/>
    <x v="961"/>
    <n v="25470"/>
    <n v="0"/>
    <s v="Y"/>
    <x v="1"/>
    <n v="14"/>
    <n v="3"/>
    <n v="1"/>
    <x v="0"/>
    <n v="0"/>
    <n v="7"/>
    <n v="2"/>
    <n v="1"/>
    <n v="6"/>
    <n v="5"/>
    <x v="1"/>
    <n v="3"/>
  </r>
  <r>
    <n v="56"/>
    <x v="1"/>
    <x v="0"/>
    <n v="1255"/>
    <x v="1"/>
    <n v="1"/>
    <n v="2"/>
    <x v="0"/>
    <n v="1"/>
    <n v="1441"/>
    <n v="1"/>
    <x v="0"/>
    <n v="90"/>
    <n v="3"/>
    <x v="1"/>
    <s v="Research Scientist"/>
    <n v="1"/>
    <s v="Married"/>
    <x v="962"/>
    <n v="10494"/>
    <n v="2"/>
    <s v="Y"/>
    <x v="1"/>
    <n v="22"/>
    <n v="4"/>
    <n v="4"/>
    <x v="0"/>
    <n v="1"/>
    <n v="5"/>
    <n v="3"/>
    <n v="4"/>
    <n v="3"/>
    <n v="2"/>
    <x v="1"/>
    <n v="0"/>
  </r>
  <r>
    <n v="47"/>
    <x v="1"/>
    <x v="0"/>
    <n v="359"/>
    <x v="1"/>
    <n v="2"/>
    <n v="4"/>
    <x v="2"/>
    <n v="1"/>
    <n v="1443"/>
    <n v="1"/>
    <x v="0"/>
    <n v="82"/>
    <n v="3"/>
    <x v="3"/>
    <s v="Research Director"/>
    <n v="3"/>
    <s v="Married"/>
    <x v="963"/>
    <n v="26703"/>
    <n v="3"/>
    <s v="Y"/>
    <x v="1"/>
    <n v="19"/>
    <n v="3"/>
    <n v="2"/>
    <x v="0"/>
    <n v="2"/>
    <n v="26"/>
    <n v="2"/>
    <n v="4"/>
    <n v="20"/>
    <n v="17"/>
    <x v="8"/>
    <n v="6"/>
  </r>
  <r>
    <n v="24"/>
    <x v="1"/>
    <x v="0"/>
    <n v="1476"/>
    <x v="0"/>
    <n v="4"/>
    <n v="1"/>
    <x v="2"/>
    <n v="1"/>
    <n v="1445"/>
    <n v="4"/>
    <x v="0"/>
    <n v="42"/>
    <n v="3"/>
    <x v="0"/>
    <s v="Sales Executive"/>
    <n v="3"/>
    <s v="Married"/>
    <x v="964"/>
    <n v="15211"/>
    <n v="1"/>
    <s v="Y"/>
    <x v="0"/>
    <n v="12"/>
    <n v="3"/>
    <n v="3"/>
    <x v="0"/>
    <n v="2"/>
    <n v="5"/>
    <n v="3"/>
    <n v="3"/>
    <n v="5"/>
    <n v="4"/>
    <x v="0"/>
    <n v="3"/>
  </r>
  <r>
    <n v="32"/>
    <x v="1"/>
    <x v="0"/>
    <n v="601"/>
    <x v="0"/>
    <n v="7"/>
    <n v="5"/>
    <x v="3"/>
    <n v="1"/>
    <n v="1446"/>
    <n v="4"/>
    <x v="1"/>
    <n v="97"/>
    <n v="3"/>
    <x v="0"/>
    <s v="Sales Executive"/>
    <n v="4"/>
    <s v="Married"/>
    <x v="965"/>
    <n v="23343"/>
    <n v="4"/>
    <s v="Y"/>
    <x v="1"/>
    <n v="12"/>
    <n v="3"/>
    <n v="3"/>
    <x v="0"/>
    <n v="1"/>
    <n v="7"/>
    <n v="3"/>
    <n v="2"/>
    <n v="4"/>
    <n v="3"/>
    <x v="0"/>
    <n v="3"/>
  </r>
  <r>
    <n v="34"/>
    <x v="1"/>
    <x v="0"/>
    <n v="401"/>
    <x v="1"/>
    <n v="1"/>
    <n v="3"/>
    <x v="0"/>
    <n v="1"/>
    <n v="1447"/>
    <n v="4"/>
    <x v="0"/>
    <n v="86"/>
    <n v="2"/>
    <x v="1"/>
    <s v="Laboratory Technician"/>
    <n v="2"/>
    <s v="Married"/>
    <x v="635"/>
    <n v="3708"/>
    <n v="5"/>
    <s v="Y"/>
    <x v="1"/>
    <n v="17"/>
    <n v="3"/>
    <n v="1"/>
    <x v="0"/>
    <n v="1"/>
    <n v="7"/>
    <n v="2"/>
    <n v="2"/>
    <n v="5"/>
    <n v="4"/>
    <x v="0"/>
    <n v="2"/>
  </r>
  <r>
    <n v="41"/>
    <x v="1"/>
    <x v="0"/>
    <n v="1283"/>
    <x v="1"/>
    <n v="5"/>
    <n v="5"/>
    <x v="2"/>
    <n v="1"/>
    <n v="1448"/>
    <n v="2"/>
    <x v="1"/>
    <n v="90"/>
    <n v="4"/>
    <x v="1"/>
    <s v="Research Scientist"/>
    <n v="3"/>
    <s v="Married"/>
    <x v="459"/>
    <n v="5561"/>
    <n v="2"/>
    <s v="Y"/>
    <x v="0"/>
    <n v="12"/>
    <n v="3"/>
    <n v="1"/>
    <x v="0"/>
    <n v="0"/>
    <n v="7"/>
    <n v="5"/>
    <n v="2"/>
    <n v="4"/>
    <n v="2"/>
    <x v="0"/>
    <n v="3"/>
  </r>
  <r>
    <n v="40"/>
    <x v="1"/>
    <x v="2"/>
    <n v="663"/>
    <x v="1"/>
    <n v="9"/>
    <n v="4"/>
    <x v="1"/>
    <n v="1"/>
    <n v="1449"/>
    <n v="3"/>
    <x v="1"/>
    <n v="81"/>
    <n v="3"/>
    <x v="0"/>
    <s v="Laboratory Technician"/>
    <n v="3"/>
    <s v="Divorced"/>
    <x v="966"/>
    <n v="23099"/>
    <n v="3"/>
    <s v="Y"/>
    <x v="1"/>
    <n v="11"/>
    <n v="3"/>
    <n v="3"/>
    <x v="0"/>
    <n v="2"/>
    <n v="11"/>
    <n v="2"/>
    <n v="4"/>
    <n v="8"/>
    <n v="7"/>
    <x v="0"/>
    <n v="7"/>
  </r>
  <r>
    <n v="31"/>
    <x v="1"/>
    <x v="0"/>
    <n v="326"/>
    <x v="0"/>
    <n v="8"/>
    <n v="2"/>
    <x v="0"/>
    <n v="1"/>
    <n v="1453"/>
    <n v="1"/>
    <x v="1"/>
    <n v="31"/>
    <n v="3"/>
    <x v="2"/>
    <s v="Sales Executive"/>
    <n v="4"/>
    <s v="Divorced"/>
    <x v="967"/>
    <n v="8386"/>
    <n v="1"/>
    <s v="Y"/>
    <x v="1"/>
    <n v="18"/>
    <n v="3"/>
    <n v="1"/>
    <x v="0"/>
    <n v="1"/>
    <n v="13"/>
    <n v="5"/>
    <n v="3"/>
    <n v="13"/>
    <n v="7"/>
    <x v="10"/>
    <n v="9"/>
  </r>
  <r>
    <n v="46"/>
    <x v="0"/>
    <x v="0"/>
    <n v="377"/>
    <x v="0"/>
    <n v="9"/>
    <n v="3"/>
    <x v="3"/>
    <n v="1"/>
    <n v="1457"/>
    <n v="1"/>
    <x v="1"/>
    <n v="52"/>
    <n v="3"/>
    <x v="2"/>
    <s v="Sales Executive"/>
    <n v="4"/>
    <s v="Divorced"/>
    <x v="61"/>
    <n v="15986"/>
    <n v="4"/>
    <s v="Y"/>
    <x v="1"/>
    <n v="11"/>
    <n v="3"/>
    <n v="1"/>
    <x v="0"/>
    <n v="1"/>
    <n v="28"/>
    <n v="1"/>
    <n v="4"/>
    <n v="7"/>
    <n v="7"/>
    <x v="5"/>
    <n v="3"/>
  </r>
  <r>
    <n v="39"/>
    <x v="0"/>
    <x v="2"/>
    <n v="592"/>
    <x v="1"/>
    <n v="2"/>
    <n v="3"/>
    <x v="0"/>
    <n v="1"/>
    <n v="1458"/>
    <n v="1"/>
    <x v="0"/>
    <n v="54"/>
    <n v="2"/>
    <x v="1"/>
    <s v="Laboratory Technician"/>
    <n v="1"/>
    <s v="Single"/>
    <x v="968"/>
    <n v="17181"/>
    <n v="2"/>
    <s v="Y"/>
    <x v="0"/>
    <n v="23"/>
    <n v="4"/>
    <n v="2"/>
    <x v="0"/>
    <n v="0"/>
    <n v="11"/>
    <n v="2"/>
    <n v="4"/>
    <n v="1"/>
    <n v="0"/>
    <x v="0"/>
    <n v="0"/>
  </r>
  <r>
    <n v="31"/>
    <x v="0"/>
    <x v="1"/>
    <n v="1445"/>
    <x v="1"/>
    <n v="1"/>
    <n v="5"/>
    <x v="0"/>
    <n v="1"/>
    <n v="1459"/>
    <n v="3"/>
    <x v="0"/>
    <n v="100"/>
    <n v="4"/>
    <x v="2"/>
    <s v="Manufacturing Director"/>
    <n v="2"/>
    <s v="Single"/>
    <x v="969"/>
    <n v="8931"/>
    <n v="1"/>
    <s v="Y"/>
    <x v="1"/>
    <n v="11"/>
    <n v="3"/>
    <n v="1"/>
    <x v="0"/>
    <n v="0"/>
    <n v="10"/>
    <n v="2"/>
    <n v="3"/>
    <n v="10"/>
    <n v="8"/>
    <x v="5"/>
    <n v="7"/>
  </r>
  <r>
    <n v="45"/>
    <x v="1"/>
    <x v="0"/>
    <n v="1038"/>
    <x v="1"/>
    <n v="20"/>
    <n v="3"/>
    <x v="2"/>
    <n v="1"/>
    <n v="1460"/>
    <n v="2"/>
    <x v="1"/>
    <n v="95"/>
    <n v="1"/>
    <x v="2"/>
    <s v="Healthcare Representative"/>
    <n v="1"/>
    <s v="Divorced"/>
    <x v="970"/>
    <n v="19863"/>
    <n v="2"/>
    <s v="Y"/>
    <x v="0"/>
    <n v="18"/>
    <n v="3"/>
    <n v="2"/>
    <x v="0"/>
    <n v="1"/>
    <n v="24"/>
    <n v="2"/>
    <n v="3"/>
    <n v="7"/>
    <n v="7"/>
    <x v="0"/>
    <n v="7"/>
  </r>
  <r>
    <n v="31"/>
    <x v="1"/>
    <x v="0"/>
    <n v="1398"/>
    <x v="2"/>
    <n v="8"/>
    <n v="2"/>
    <x v="2"/>
    <n v="1"/>
    <n v="1461"/>
    <n v="4"/>
    <x v="0"/>
    <n v="96"/>
    <n v="4"/>
    <x v="1"/>
    <s v="Human Resources"/>
    <n v="2"/>
    <s v="Single"/>
    <x v="971"/>
    <n v="24609"/>
    <n v="9"/>
    <s v="Y"/>
    <x v="1"/>
    <n v="18"/>
    <n v="3"/>
    <n v="4"/>
    <x v="0"/>
    <n v="0"/>
    <n v="8"/>
    <n v="3"/>
    <n v="3"/>
    <n v="3"/>
    <n v="2"/>
    <x v="0"/>
    <n v="2"/>
  </r>
  <r>
    <n v="31"/>
    <x v="0"/>
    <x v="1"/>
    <n v="523"/>
    <x v="1"/>
    <n v="2"/>
    <n v="3"/>
    <x v="0"/>
    <n v="1"/>
    <n v="1464"/>
    <n v="2"/>
    <x v="1"/>
    <n v="94"/>
    <n v="3"/>
    <x v="1"/>
    <s v="Laboratory Technician"/>
    <n v="4"/>
    <s v="Married"/>
    <x v="972"/>
    <n v="21081"/>
    <n v="6"/>
    <s v="Y"/>
    <x v="0"/>
    <n v="13"/>
    <n v="3"/>
    <n v="3"/>
    <x v="0"/>
    <n v="1"/>
    <n v="7"/>
    <n v="2"/>
    <n v="1"/>
    <n v="2"/>
    <n v="2"/>
    <x v="3"/>
    <n v="2"/>
  </r>
  <r>
    <n v="45"/>
    <x v="1"/>
    <x v="0"/>
    <n v="1448"/>
    <x v="1"/>
    <n v="29"/>
    <n v="3"/>
    <x v="4"/>
    <n v="1"/>
    <n v="1465"/>
    <n v="2"/>
    <x v="1"/>
    <n v="55"/>
    <n v="3"/>
    <x v="2"/>
    <s v="Manufacturing Director"/>
    <n v="4"/>
    <s v="Married"/>
    <x v="973"/>
    <n v="14720"/>
    <n v="4"/>
    <s v="Y"/>
    <x v="0"/>
    <n v="18"/>
    <n v="3"/>
    <n v="4"/>
    <x v="0"/>
    <n v="2"/>
    <n v="10"/>
    <n v="4"/>
    <n v="4"/>
    <n v="3"/>
    <n v="1"/>
    <x v="1"/>
    <n v="2"/>
  </r>
  <r>
    <n v="48"/>
    <x v="1"/>
    <x v="0"/>
    <n v="1221"/>
    <x v="0"/>
    <n v="7"/>
    <n v="3"/>
    <x v="3"/>
    <n v="1"/>
    <n v="1466"/>
    <n v="3"/>
    <x v="1"/>
    <n v="96"/>
    <n v="3"/>
    <x v="0"/>
    <s v="Sales Executive"/>
    <n v="1"/>
    <s v="Divorced"/>
    <x v="974"/>
    <n v="24795"/>
    <n v="4"/>
    <s v="Y"/>
    <x v="1"/>
    <n v="11"/>
    <n v="3"/>
    <n v="1"/>
    <x v="0"/>
    <n v="3"/>
    <n v="15"/>
    <n v="3"/>
    <n v="3"/>
    <n v="2"/>
    <n v="2"/>
    <x v="3"/>
    <n v="2"/>
  </r>
  <r>
    <n v="34"/>
    <x v="0"/>
    <x v="0"/>
    <n v="1107"/>
    <x v="2"/>
    <n v="9"/>
    <n v="4"/>
    <x v="4"/>
    <n v="1"/>
    <n v="1467"/>
    <n v="1"/>
    <x v="0"/>
    <n v="52"/>
    <n v="3"/>
    <x v="1"/>
    <s v="Human Resources"/>
    <n v="3"/>
    <s v="Married"/>
    <x v="975"/>
    <n v="3072"/>
    <n v="1"/>
    <s v="Y"/>
    <x v="1"/>
    <n v="15"/>
    <n v="3"/>
    <n v="4"/>
    <x v="0"/>
    <n v="0"/>
    <n v="2"/>
    <n v="0"/>
    <n v="3"/>
    <n v="2"/>
    <n v="2"/>
    <x v="3"/>
    <n v="2"/>
  </r>
  <r>
    <n v="40"/>
    <x v="1"/>
    <x v="2"/>
    <n v="218"/>
    <x v="1"/>
    <n v="8"/>
    <n v="1"/>
    <x v="2"/>
    <n v="1"/>
    <n v="1468"/>
    <n v="4"/>
    <x v="1"/>
    <n v="55"/>
    <n v="2"/>
    <x v="2"/>
    <s v="Research Director"/>
    <n v="2"/>
    <s v="Divorced"/>
    <x v="976"/>
    <n v="25178"/>
    <n v="2"/>
    <s v="Y"/>
    <x v="1"/>
    <n v="11"/>
    <n v="3"/>
    <n v="3"/>
    <x v="0"/>
    <n v="1"/>
    <n v="16"/>
    <n v="5"/>
    <n v="3"/>
    <n v="9"/>
    <n v="8"/>
    <x v="5"/>
    <n v="8"/>
  </r>
  <r>
    <n v="28"/>
    <x v="1"/>
    <x v="0"/>
    <n v="866"/>
    <x v="0"/>
    <n v="5"/>
    <n v="3"/>
    <x v="2"/>
    <n v="1"/>
    <n v="1469"/>
    <n v="4"/>
    <x v="1"/>
    <n v="84"/>
    <n v="3"/>
    <x v="0"/>
    <s v="Sales Executive"/>
    <n v="1"/>
    <s v="Single"/>
    <x v="977"/>
    <n v="23490"/>
    <n v="0"/>
    <s v="Y"/>
    <x v="1"/>
    <n v="18"/>
    <n v="3"/>
    <n v="4"/>
    <x v="0"/>
    <n v="0"/>
    <n v="6"/>
    <n v="4"/>
    <n v="3"/>
    <n v="5"/>
    <n v="4"/>
    <x v="1"/>
    <n v="3"/>
  </r>
  <r>
    <n v="44"/>
    <x v="1"/>
    <x v="2"/>
    <n v="981"/>
    <x v="1"/>
    <n v="5"/>
    <n v="3"/>
    <x v="0"/>
    <n v="1"/>
    <n v="1471"/>
    <n v="3"/>
    <x v="1"/>
    <n v="90"/>
    <n v="2"/>
    <x v="1"/>
    <s v="Laboratory Technician"/>
    <n v="3"/>
    <s v="Single"/>
    <x v="612"/>
    <n v="7973"/>
    <n v="3"/>
    <s v="Y"/>
    <x v="1"/>
    <n v="14"/>
    <n v="3"/>
    <n v="4"/>
    <x v="0"/>
    <n v="0"/>
    <n v="7"/>
    <n v="5"/>
    <n v="3"/>
    <n v="5"/>
    <n v="2"/>
    <x v="0"/>
    <n v="3"/>
  </r>
  <r>
    <n v="53"/>
    <x v="1"/>
    <x v="0"/>
    <n v="447"/>
    <x v="1"/>
    <n v="2"/>
    <n v="3"/>
    <x v="2"/>
    <n v="1"/>
    <n v="1472"/>
    <n v="4"/>
    <x v="1"/>
    <n v="39"/>
    <n v="4"/>
    <x v="3"/>
    <s v="Research Director"/>
    <n v="2"/>
    <s v="Single"/>
    <x v="978"/>
    <n v="19764"/>
    <n v="4"/>
    <s v="Y"/>
    <x v="1"/>
    <n v="12"/>
    <n v="3"/>
    <n v="2"/>
    <x v="0"/>
    <n v="0"/>
    <n v="35"/>
    <n v="2"/>
    <n v="2"/>
    <n v="9"/>
    <n v="8"/>
    <x v="6"/>
    <n v="8"/>
  </r>
  <r>
    <n v="49"/>
    <x v="1"/>
    <x v="0"/>
    <n v="1495"/>
    <x v="1"/>
    <n v="5"/>
    <n v="4"/>
    <x v="4"/>
    <n v="1"/>
    <n v="1473"/>
    <n v="1"/>
    <x v="1"/>
    <n v="96"/>
    <n v="3"/>
    <x v="0"/>
    <s v="Healthcare Representative"/>
    <n v="3"/>
    <s v="Married"/>
    <x v="979"/>
    <n v="21534"/>
    <n v="2"/>
    <s v="Y"/>
    <x v="1"/>
    <n v="14"/>
    <n v="3"/>
    <n v="2"/>
    <x v="0"/>
    <n v="1"/>
    <n v="20"/>
    <n v="0"/>
    <n v="2"/>
    <n v="3"/>
    <n v="2"/>
    <x v="1"/>
    <n v="2"/>
  </r>
  <r>
    <n v="40"/>
    <x v="1"/>
    <x v="0"/>
    <n v="896"/>
    <x v="1"/>
    <n v="2"/>
    <n v="3"/>
    <x v="2"/>
    <n v="1"/>
    <n v="1474"/>
    <n v="3"/>
    <x v="1"/>
    <n v="68"/>
    <n v="3"/>
    <x v="1"/>
    <s v="Research Scientist"/>
    <n v="3"/>
    <s v="Divorced"/>
    <x v="980"/>
    <n v="8045"/>
    <n v="2"/>
    <s v="Y"/>
    <x v="1"/>
    <n v="14"/>
    <n v="3"/>
    <n v="3"/>
    <x v="0"/>
    <n v="1"/>
    <n v="8"/>
    <n v="3"/>
    <n v="4"/>
    <n v="3"/>
    <n v="1"/>
    <x v="1"/>
    <n v="2"/>
  </r>
  <r>
    <n v="44"/>
    <x v="1"/>
    <x v="0"/>
    <n v="1467"/>
    <x v="1"/>
    <n v="20"/>
    <n v="3"/>
    <x v="0"/>
    <n v="1"/>
    <n v="1475"/>
    <n v="4"/>
    <x v="1"/>
    <n v="49"/>
    <n v="3"/>
    <x v="1"/>
    <s v="Research Scientist"/>
    <n v="2"/>
    <s v="Single"/>
    <x v="959"/>
    <n v="21158"/>
    <n v="1"/>
    <s v="Y"/>
    <x v="1"/>
    <n v="13"/>
    <n v="3"/>
    <n v="3"/>
    <x v="0"/>
    <n v="0"/>
    <n v="6"/>
    <n v="3"/>
    <n v="2"/>
    <n v="5"/>
    <n v="2"/>
    <x v="1"/>
    <n v="3"/>
  </r>
  <r>
    <n v="33"/>
    <x v="1"/>
    <x v="1"/>
    <n v="430"/>
    <x v="0"/>
    <n v="7"/>
    <n v="3"/>
    <x v="2"/>
    <n v="1"/>
    <n v="1477"/>
    <n v="4"/>
    <x v="1"/>
    <n v="54"/>
    <n v="3"/>
    <x v="0"/>
    <s v="Sales Executive"/>
    <n v="1"/>
    <s v="Married"/>
    <x v="981"/>
    <n v="17456"/>
    <n v="0"/>
    <s v="Y"/>
    <x v="1"/>
    <n v="14"/>
    <n v="3"/>
    <n v="1"/>
    <x v="0"/>
    <n v="2"/>
    <n v="5"/>
    <n v="2"/>
    <n v="3"/>
    <n v="4"/>
    <n v="3"/>
    <x v="0"/>
    <n v="3"/>
  </r>
  <r>
    <n v="34"/>
    <x v="1"/>
    <x v="0"/>
    <n v="1326"/>
    <x v="0"/>
    <n v="3"/>
    <n v="3"/>
    <x v="1"/>
    <n v="1"/>
    <n v="1478"/>
    <n v="4"/>
    <x v="1"/>
    <n v="81"/>
    <n v="1"/>
    <x v="0"/>
    <s v="Sales Executive"/>
    <n v="1"/>
    <s v="Single"/>
    <x v="982"/>
    <n v="15891"/>
    <n v="3"/>
    <s v="Y"/>
    <x v="1"/>
    <n v="18"/>
    <n v="3"/>
    <n v="4"/>
    <x v="0"/>
    <n v="0"/>
    <n v="15"/>
    <n v="2"/>
    <n v="3"/>
    <n v="13"/>
    <n v="9"/>
    <x v="2"/>
    <n v="12"/>
  </r>
  <r>
    <n v="30"/>
    <x v="1"/>
    <x v="0"/>
    <n v="1358"/>
    <x v="0"/>
    <n v="16"/>
    <n v="1"/>
    <x v="0"/>
    <n v="1"/>
    <n v="1479"/>
    <n v="4"/>
    <x v="1"/>
    <n v="96"/>
    <n v="3"/>
    <x v="0"/>
    <s v="Sales Executive"/>
    <n v="3"/>
    <s v="Married"/>
    <x v="983"/>
    <n v="2939"/>
    <n v="8"/>
    <s v="Y"/>
    <x v="1"/>
    <n v="15"/>
    <n v="3"/>
    <n v="3"/>
    <x v="0"/>
    <n v="2"/>
    <n v="4"/>
    <n v="2"/>
    <n v="2"/>
    <n v="2"/>
    <n v="1"/>
    <x v="3"/>
    <n v="2"/>
  </r>
  <r>
    <n v="42"/>
    <x v="1"/>
    <x v="1"/>
    <n v="748"/>
    <x v="1"/>
    <n v="9"/>
    <n v="2"/>
    <x v="2"/>
    <n v="1"/>
    <n v="1480"/>
    <n v="1"/>
    <x v="0"/>
    <n v="74"/>
    <n v="3"/>
    <x v="1"/>
    <s v="Laboratory Technician"/>
    <n v="4"/>
    <s v="Single"/>
    <x v="984"/>
    <n v="16458"/>
    <n v="1"/>
    <s v="Y"/>
    <x v="1"/>
    <n v="13"/>
    <n v="3"/>
    <n v="3"/>
    <x v="0"/>
    <n v="0"/>
    <n v="12"/>
    <n v="3"/>
    <n v="3"/>
    <n v="12"/>
    <n v="9"/>
    <x v="8"/>
    <n v="8"/>
  </r>
  <r>
    <n v="44"/>
    <x v="1"/>
    <x v="1"/>
    <n v="383"/>
    <x v="0"/>
    <n v="1"/>
    <n v="5"/>
    <x v="3"/>
    <n v="1"/>
    <n v="1481"/>
    <n v="1"/>
    <x v="0"/>
    <n v="79"/>
    <n v="3"/>
    <x v="0"/>
    <s v="Sales Executive"/>
    <n v="3"/>
    <s v="Married"/>
    <x v="985"/>
    <n v="9282"/>
    <n v="7"/>
    <s v="Y"/>
    <x v="1"/>
    <n v="12"/>
    <n v="3"/>
    <n v="3"/>
    <x v="0"/>
    <n v="1"/>
    <n v="11"/>
    <n v="4"/>
    <n v="2"/>
    <n v="1"/>
    <n v="0"/>
    <x v="0"/>
    <n v="0"/>
  </r>
  <r>
    <n v="30"/>
    <x v="1"/>
    <x v="2"/>
    <n v="990"/>
    <x v="1"/>
    <n v="7"/>
    <n v="3"/>
    <x v="4"/>
    <n v="1"/>
    <n v="1482"/>
    <n v="3"/>
    <x v="1"/>
    <n v="64"/>
    <n v="3"/>
    <x v="1"/>
    <s v="Research Scientist"/>
    <n v="3"/>
    <s v="Divorced"/>
    <x v="986"/>
    <n v="7152"/>
    <n v="1"/>
    <s v="Y"/>
    <x v="1"/>
    <n v="13"/>
    <n v="3"/>
    <n v="2"/>
    <x v="0"/>
    <n v="2"/>
    <n v="1"/>
    <n v="2"/>
    <n v="2"/>
    <n v="1"/>
    <n v="0"/>
    <x v="0"/>
    <n v="0"/>
  </r>
  <r>
    <n v="57"/>
    <x v="1"/>
    <x v="0"/>
    <n v="405"/>
    <x v="1"/>
    <n v="1"/>
    <n v="2"/>
    <x v="0"/>
    <n v="1"/>
    <n v="1483"/>
    <n v="2"/>
    <x v="1"/>
    <n v="93"/>
    <n v="4"/>
    <x v="0"/>
    <s v="Research Scientist"/>
    <n v="3"/>
    <s v="Married"/>
    <x v="987"/>
    <n v="2721"/>
    <n v="0"/>
    <s v="Y"/>
    <x v="1"/>
    <n v="24"/>
    <n v="4"/>
    <n v="1"/>
    <x v="0"/>
    <n v="1"/>
    <n v="13"/>
    <n v="2"/>
    <n v="2"/>
    <n v="12"/>
    <n v="9"/>
    <x v="3"/>
    <n v="8"/>
  </r>
  <r>
    <n v="49"/>
    <x v="1"/>
    <x v="0"/>
    <n v="1490"/>
    <x v="1"/>
    <n v="7"/>
    <n v="4"/>
    <x v="0"/>
    <n v="1"/>
    <n v="1484"/>
    <n v="3"/>
    <x v="1"/>
    <n v="35"/>
    <n v="3"/>
    <x v="2"/>
    <s v="Healthcare Representative"/>
    <n v="2"/>
    <s v="Divorced"/>
    <x v="988"/>
    <n v="20948"/>
    <n v="3"/>
    <s v="Y"/>
    <x v="1"/>
    <n v="14"/>
    <n v="3"/>
    <n v="2"/>
    <x v="0"/>
    <n v="2"/>
    <n v="29"/>
    <n v="3"/>
    <n v="3"/>
    <n v="8"/>
    <n v="7"/>
    <x v="0"/>
    <n v="7"/>
  </r>
  <r>
    <n v="34"/>
    <x v="1"/>
    <x v="1"/>
    <n v="829"/>
    <x v="1"/>
    <n v="15"/>
    <n v="3"/>
    <x v="2"/>
    <n v="1"/>
    <n v="1485"/>
    <n v="2"/>
    <x v="1"/>
    <n v="71"/>
    <n v="3"/>
    <x v="3"/>
    <s v="Research Director"/>
    <n v="1"/>
    <s v="Divorced"/>
    <x v="989"/>
    <n v="11929"/>
    <n v="7"/>
    <s v="Y"/>
    <x v="1"/>
    <n v="14"/>
    <n v="3"/>
    <n v="4"/>
    <x v="0"/>
    <n v="2"/>
    <n v="16"/>
    <n v="3"/>
    <n v="2"/>
    <n v="14"/>
    <n v="8"/>
    <x v="7"/>
    <n v="9"/>
  </r>
  <r>
    <n v="28"/>
    <x v="0"/>
    <x v="1"/>
    <n v="1496"/>
    <x v="0"/>
    <n v="1"/>
    <n v="3"/>
    <x v="4"/>
    <n v="1"/>
    <n v="1486"/>
    <n v="1"/>
    <x v="1"/>
    <n v="92"/>
    <n v="3"/>
    <x v="1"/>
    <s v="Sales Representative"/>
    <n v="3"/>
    <s v="Married"/>
    <x v="3"/>
    <n v="15747"/>
    <n v="3"/>
    <s v="Y"/>
    <x v="1"/>
    <n v="15"/>
    <n v="3"/>
    <n v="4"/>
    <x v="0"/>
    <n v="1"/>
    <n v="5"/>
    <n v="3"/>
    <n v="4"/>
    <n v="3"/>
    <n v="2"/>
    <x v="1"/>
    <n v="2"/>
  </r>
  <r>
    <n v="29"/>
    <x v="0"/>
    <x v="1"/>
    <n v="115"/>
    <x v="0"/>
    <n v="13"/>
    <n v="3"/>
    <x v="4"/>
    <n v="1"/>
    <n v="1487"/>
    <n v="1"/>
    <x v="0"/>
    <n v="51"/>
    <n v="3"/>
    <x v="0"/>
    <s v="Sales Executive"/>
    <n v="2"/>
    <s v="Single"/>
    <x v="990"/>
    <n v="17485"/>
    <n v="5"/>
    <s v="Y"/>
    <x v="1"/>
    <n v="11"/>
    <n v="3"/>
    <n v="1"/>
    <x v="0"/>
    <n v="0"/>
    <n v="7"/>
    <n v="4"/>
    <n v="1"/>
    <n v="5"/>
    <n v="3"/>
    <x v="0"/>
    <n v="0"/>
  </r>
  <r>
    <n v="34"/>
    <x v="0"/>
    <x v="0"/>
    <n v="790"/>
    <x v="0"/>
    <n v="24"/>
    <n v="4"/>
    <x v="2"/>
    <n v="1"/>
    <n v="1489"/>
    <n v="1"/>
    <x v="0"/>
    <n v="40"/>
    <n v="2"/>
    <x v="0"/>
    <s v="Sales Executive"/>
    <n v="2"/>
    <s v="Single"/>
    <x v="991"/>
    <n v="7815"/>
    <n v="0"/>
    <s v="Y"/>
    <x v="0"/>
    <n v="23"/>
    <n v="4"/>
    <n v="3"/>
    <x v="0"/>
    <n v="0"/>
    <n v="16"/>
    <n v="2"/>
    <n v="4"/>
    <n v="15"/>
    <n v="9"/>
    <x v="13"/>
    <n v="10"/>
  </r>
  <r>
    <n v="35"/>
    <x v="1"/>
    <x v="0"/>
    <n v="660"/>
    <x v="0"/>
    <n v="7"/>
    <n v="1"/>
    <x v="0"/>
    <n v="1"/>
    <n v="1492"/>
    <n v="4"/>
    <x v="1"/>
    <n v="76"/>
    <n v="3"/>
    <x v="1"/>
    <s v="Sales Representative"/>
    <n v="3"/>
    <s v="Married"/>
    <x v="639"/>
    <n v="16192"/>
    <n v="1"/>
    <s v="Y"/>
    <x v="1"/>
    <n v="13"/>
    <n v="3"/>
    <n v="1"/>
    <x v="0"/>
    <n v="1"/>
    <n v="1"/>
    <n v="3"/>
    <n v="3"/>
    <n v="1"/>
    <n v="0"/>
    <x v="0"/>
    <n v="0"/>
  </r>
  <r>
    <n v="24"/>
    <x v="0"/>
    <x v="1"/>
    <n v="381"/>
    <x v="1"/>
    <n v="9"/>
    <n v="3"/>
    <x v="2"/>
    <n v="1"/>
    <n v="1494"/>
    <n v="2"/>
    <x v="1"/>
    <n v="89"/>
    <n v="3"/>
    <x v="1"/>
    <s v="Laboratory Technician"/>
    <n v="1"/>
    <s v="Single"/>
    <x v="992"/>
    <n v="16998"/>
    <n v="2"/>
    <s v="Y"/>
    <x v="0"/>
    <n v="11"/>
    <n v="3"/>
    <n v="3"/>
    <x v="0"/>
    <n v="0"/>
    <n v="4"/>
    <n v="2"/>
    <n v="2"/>
    <n v="0"/>
    <n v="0"/>
    <x v="0"/>
    <n v="0"/>
  </r>
  <r>
    <n v="24"/>
    <x v="1"/>
    <x v="2"/>
    <n v="830"/>
    <x v="0"/>
    <n v="13"/>
    <n v="2"/>
    <x v="0"/>
    <n v="1"/>
    <n v="1495"/>
    <n v="4"/>
    <x v="0"/>
    <n v="78"/>
    <n v="3"/>
    <x v="1"/>
    <s v="Sales Representative"/>
    <n v="2"/>
    <s v="Married"/>
    <x v="462"/>
    <n v="7103"/>
    <n v="1"/>
    <s v="Y"/>
    <x v="1"/>
    <n v="13"/>
    <n v="3"/>
    <n v="3"/>
    <x v="0"/>
    <n v="1"/>
    <n v="1"/>
    <n v="2"/>
    <n v="3"/>
    <n v="1"/>
    <n v="0"/>
    <x v="0"/>
    <n v="0"/>
  </r>
  <r>
    <n v="44"/>
    <x v="1"/>
    <x v="1"/>
    <n v="1193"/>
    <x v="1"/>
    <n v="2"/>
    <n v="1"/>
    <x v="2"/>
    <n v="1"/>
    <n v="1496"/>
    <n v="2"/>
    <x v="1"/>
    <n v="86"/>
    <n v="3"/>
    <x v="2"/>
    <s v="Manufacturing Director"/>
    <n v="3"/>
    <s v="Single"/>
    <x v="993"/>
    <n v="19719"/>
    <n v="5"/>
    <s v="Y"/>
    <x v="0"/>
    <n v="18"/>
    <n v="3"/>
    <n v="2"/>
    <x v="0"/>
    <n v="0"/>
    <n v="16"/>
    <n v="2"/>
    <n v="2"/>
    <n v="2"/>
    <n v="2"/>
    <x v="3"/>
    <n v="2"/>
  </r>
  <r>
    <n v="29"/>
    <x v="1"/>
    <x v="0"/>
    <n v="1246"/>
    <x v="0"/>
    <n v="19"/>
    <n v="3"/>
    <x v="0"/>
    <n v="1"/>
    <n v="1497"/>
    <n v="3"/>
    <x v="1"/>
    <n v="77"/>
    <n v="2"/>
    <x v="0"/>
    <s v="Sales Executive"/>
    <n v="3"/>
    <s v="Divorced"/>
    <x v="994"/>
    <n v="23757"/>
    <n v="1"/>
    <s v="Y"/>
    <x v="1"/>
    <n v="14"/>
    <n v="3"/>
    <n v="3"/>
    <x v="0"/>
    <n v="2"/>
    <n v="10"/>
    <n v="3"/>
    <n v="3"/>
    <n v="10"/>
    <n v="7"/>
    <x v="0"/>
    <n v="4"/>
  </r>
  <r>
    <n v="30"/>
    <x v="1"/>
    <x v="0"/>
    <n v="330"/>
    <x v="2"/>
    <n v="1"/>
    <n v="3"/>
    <x v="0"/>
    <n v="1"/>
    <n v="1499"/>
    <n v="3"/>
    <x v="1"/>
    <n v="46"/>
    <n v="3"/>
    <x v="1"/>
    <s v="Human Resources"/>
    <n v="3"/>
    <s v="Divorced"/>
    <x v="995"/>
    <n v="15428"/>
    <n v="0"/>
    <s v="Y"/>
    <x v="1"/>
    <n v="21"/>
    <n v="4"/>
    <n v="1"/>
    <x v="0"/>
    <n v="1"/>
    <n v="6"/>
    <n v="3"/>
    <n v="4"/>
    <n v="5"/>
    <n v="3"/>
    <x v="1"/>
    <n v="3"/>
  </r>
  <r>
    <n v="55"/>
    <x v="1"/>
    <x v="0"/>
    <n v="1229"/>
    <x v="1"/>
    <n v="4"/>
    <n v="4"/>
    <x v="0"/>
    <n v="1"/>
    <n v="1501"/>
    <n v="4"/>
    <x v="1"/>
    <n v="30"/>
    <n v="3"/>
    <x v="0"/>
    <s v="Healthcare Representative"/>
    <n v="3"/>
    <s v="Married"/>
    <x v="996"/>
    <n v="16143"/>
    <n v="0"/>
    <s v="Y"/>
    <x v="0"/>
    <n v="16"/>
    <n v="3"/>
    <n v="2"/>
    <x v="0"/>
    <n v="0"/>
    <n v="4"/>
    <n v="2"/>
    <n v="3"/>
    <n v="3"/>
    <n v="2"/>
    <x v="1"/>
    <n v="2"/>
  </r>
  <r>
    <n v="33"/>
    <x v="1"/>
    <x v="0"/>
    <n v="1099"/>
    <x v="1"/>
    <n v="4"/>
    <n v="4"/>
    <x v="2"/>
    <n v="1"/>
    <n v="1502"/>
    <n v="1"/>
    <x v="0"/>
    <n v="82"/>
    <n v="2"/>
    <x v="1"/>
    <s v="Laboratory Technician"/>
    <n v="2"/>
    <s v="Married"/>
    <x v="997"/>
    <n v="8192"/>
    <n v="8"/>
    <s v="Y"/>
    <x v="1"/>
    <n v="11"/>
    <n v="3"/>
    <n v="4"/>
    <x v="0"/>
    <n v="0"/>
    <n v="8"/>
    <n v="5"/>
    <n v="3"/>
    <n v="5"/>
    <n v="4"/>
    <x v="0"/>
    <n v="2"/>
  </r>
  <r>
    <n v="47"/>
    <x v="1"/>
    <x v="0"/>
    <n v="571"/>
    <x v="0"/>
    <n v="14"/>
    <n v="3"/>
    <x v="2"/>
    <n v="1"/>
    <n v="1503"/>
    <n v="3"/>
    <x v="0"/>
    <n v="78"/>
    <n v="3"/>
    <x v="0"/>
    <s v="Sales Executive"/>
    <n v="3"/>
    <s v="Married"/>
    <x v="998"/>
    <n v="24200"/>
    <n v="3"/>
    <s v="Y"/>
    <x v="0"/>
    <n v="17"/>
    <n v="3"/>
    <n v="3"/>
    <x v="0"/>
    <n v="1"/>
    <n v="11"/>
    <n v="4"/>
    <n v="2"/>
    <n v="5"/>
    <n v="4"/>
    <x v="1"/>
    <n v="2"/>
  </r>
  <r>
    <n v="28"/>
    <x v="0"/>
    <x v="1"/>
    <n v="289"/>
    <x v="1"/>
    <n v="2"/>
    <n v="2"/>
    <x v="2"/>
    <n v="1"/>
    <n v="1504"/>
    <n v="3"/>
    <x v="1"/>
    <n v="38"/>
    <n v="2"/>
    <x v="1"/>
    <s v="Laboratory Technician"/>
    <n v="1"/>
    <s v="Single"/>
    <x v="999"/>
    <n v="5355"/>
    <n v="7"/>
    <s v="Y"/>
    <x v="1"/>
    <n v="11"/>
    <n v="3"/>
    <n v="3"/>
    <x v="0"/>
    <n v="0"/>
    <n v="8"/>
    <n v="2"/>
    <n v="2"/>
    <n v="0"/>
    <n v="0"/>
    <x v="0"/>
    <n v="0"/>
  </r>
  <r>
    <n v="28"/>
    <x v="1"/>
    <x v="0"/>
    <n v="1423"/>
    <x v="1"/>
    <n v="1"/>
    <n v="3"/>
    <x v="0"/>
    <n v="1"/>
    <n v="1506"/>
    <n v="1"/>
    <x v="1"/>
    <n v="72"/>
    <n v="2"/>
    <x v="1"/>
    <s v="Research Scientist"/>
    <n v="3"/>
    <s v="Divorced"/>
    <x v="1000"/>
    <n v="12530"/>
    <n v="1"/>
    <s v="Y"/>
    <x v="1"/>
    <n v="14"/>
    <n v="3"/>
    <n v="4"/>
    <x v="0"/>
    <n v="1"/>
    <n v="1"/>
    <n v="2"/>
    <n v="1"/>
    <n v="1"/>
    <n v="0"/>
    <x v="0"/>
    <n v="0"/>
  </r>
  <r>
    <n v="28"/>
    <x v="1"/>
    <x v="1"/>
    <n v="467"/>
    <x v="0"/>
    <n v="7"/>
    <n v="3"/>
    <x v="0"/>
    <n v="1"/>
    <n v="1507"/>
    <n v="3"/>
    <x v="1"/>
    <n v="55"/>
    <n v="3"/>
    <x v="0"/>
    <s v="Sales Executive"/>
    <n v="1"/>
    <s v="Single"/>
    <x v="249"/>
    <n v="11827"/>
    <n v="0"/>
    <s v="Y"/>
    <x v="1"/>
    <n v="14"/>
    <n v="3"/>
    <n v="4"/>
    <x v="0"/>
    <n v="0"/>
    <n v="5"/>
    <n v="5"/>
    <n v="3"/>
    <n v="4"/>
    <n v="2"/>
    <x v="1"/>
    <n v="3"/>
  </r>
  <r>
    <n v="49"/>
    <x v="1"/>
    <x v="0"/>
    <n v="271"/>
    <x v="1"/>
    <n v="3"/>
    <n v="2"/>
    <x v="2"/>
    <n v="1"/>
    <n v="1509"/>
    <n v="3"/>
    <x v="0"/>
    <n v="43"/>
    <n v="2"/>
    <x v="0"/>
    <s v="Laboratory Technician"/>
    <n v="1"/>
    <s v="Married"/>
    <x v="1001"/>
    <n v="23070"/>
    <n v="4"/>
    <s v="Y"/>
    <x v="1"/>
    <n v="25"/>
    <n v="4"/>
    <n v="1"/>
    <x v="0"/>
    <n v="1"/>
    <n v="10"/>
    <n v="3"/>
    <n v="3"/>
    <n v="3"/>
    <n v="2"/>
    <x v="1"/>
    <n v="2"/>
  </r>
  <r>
    <n v="29"/>
    <x v="1"/>
    <x v="1"/>
    <n v="410"/>
    <x v="1"/>
    <n v="2"/>
    <n v="1"/>
    <x v="0"/>
    <n v="1"/>
    <n v="1513"/>
    <n v="4"/>
    <x v="0"/>
    <n v="97"/>
    <n v="3"/>
    <x v="1"/>
    <s v="Laboratory Technician"/>
    <n v="2"/>
    <s v="Married"/>
    <x v="1002"/>
    <n v="4668"/>
    <n v="0"/>
    <s v="Y"/>
    <x v="1"/>
    <n v="13"/>
    <n v="3"/>
    <n v="3"/>
    <x v="0"/>
    <n v="3"/>
    <n v="4"/>
    <n v="3"/>
    <n v="3"/>
    <n v="3"/>
    <n v="2"/>
    <x v="0"/>
    <n v="2"/>
  </r>
  <r>
    <n v="28"/>
    <x v="1"/>
    <x v="0"/>
    <n v="1083"/>
    <x v="1"/>
    <n v="29"/>
    <n v="1"/>
    <x v="0"/>
    <n v="1"/>
    <n v="1514"/>
    <n v="3"/>
    <x v="1"/>
    <n v="96"/>
    <n v="1"/>
    <x v="0"/>
    <s v="Manufacturing Director"/>
    <n v="2"/>
    <s v="Married"/>
    <x v="1003"/>
    <n v="3173"/>
    <n v="1"/>
    <s v="Y"/>
    <x v="1"/>
    <n v="14"/>
    <n v="3"/>
    <n v="2"/>
    <x v="0"/>
    <n v="2"/>
    <n v="8"/>
    <n v="2"/>
    <n v="2"/>
    <n v="8"/>
    <n v="6"/>
    <x v="1"/>
    <n v="7"/>
  </r>
  <r>
    <n v="33"/>
    <x v="1"/>
    <x v="0"/>
    <n v="516"/>
    <x v="1"/>
    <n v="8"/>
    <n v="5"/>
    <x v="0"/>
    <n v="1"/>
    <n v="1515"/>
    <n v="4"/>
    <x v="1"/>
    <n v="69"/>
    <n v="3"/>
    <x v="0"/>
    <s v="Healthcare Representative"/>
    <n v="3"/>
    <s v="Single"/>
    <x v="1004"/>
    <n v="22049"/>
    <n v="2"/>
    <s v="Y"/>
    <x v="0"/>
    <n v="17"/>
    <n v="3"/>
    <n v="1"/>
    <x v="0"/>
    <n v="0"/>
    <n v="14"/>
    <n v="6"/>
    <n v="3"/>
    <n v="0"/>
    <n v="0"/>
    <x v="0"/>
    <n v="0"/>
  </r>
  <r>
    <n v="32"/>
    <x v="1"/>
    <x v="0"/>
    <n v="495"/>
    <x v="1"/>
    <n v="10"/>
    <n v="3"/>
    <x v="2"/>
    <n v="1"/>
    <n v="1516"/>
    <n v="3"/>
    <x v="1"/>
    <n v="64"/>
    <n v="3"/>
    <x v="2"/>
    <s v="Manager"/>
    <n v="4"/>
    <s v="Single"/>
    <x v="1005"/>
    <n v="21072"/>
    <n v="2"/>
    <s v="Y"/>
    <x v="1"/>
    <n v="25"/>
    <n v="4"/>
    <n v="2"/>
    <x v="0"/>
    <n v="0"/>
    <n v="10"/>
    <n v="5"/>
    <n v="4"/>
    <n v="5"/>
    <n v="2"/>
    <x v="0"/>
    <n v="0"/>
  </r>
  <r>
    <n v="54"/>
    <x v="1"/>
    <x v="1"/>
    <n v="1050"/>
    <x v="1"/>
    <n v="11"/>
    <n v="4"/>
    <x v="2"/>
    <n v="1"/>
    <n v="1520"/>
    <n v="2"/>
    <x v="0"/>
    <n v="87"/>
    <n v="3"/>
    <x v="3"/>
    <s v="Manager"/>
    <n v="4"/>
    <s v="Divorced"/>
    <x v="1006"/>
    <n v="24456"/>
    <n v="3"/>
    <s v="Y"/>
    <x v="1"/>
    <n v="20"/>
    <n v="4"/>
    <n v="1"/>
    <x v="0"/>
    <n v="1"/>
    <n v="26"/>
    <n v="2"/>
    <n v="3"/>
    <n v="14"/>
    <n v="9"/>
    <x v="1"/>
    <n v="12"/>
  </r>
  <r>
    <n v="29"/>
    <x v="0"/>
    <x v="0"/>
    <n v="224"/>
    <x v="1"/>
    <n v="1"/>
    <n v="4"/>
    <x v="4"/>
    <n v="1"/>
    <n v="1522"/>
    <n v="1"/>
    <x v="1"/>
    <n v="100"/>
    <n v="2"/>
    <x v="1"/>
    <s v="Research Scientist"/>
    <n v="1"/>
    <s v="Single"/>
    <x v="898"/>
    <n v="7568"/>
    <n v="6"/>
    <s v="Y"/>
    <x v="1"/>
    <n v="13"/>
    <n v="3"/>
    <n v="3"/>
    <x v="0"/>
    <n v="0"/>
    <n v="11"/>
    <n v="2"/>
    <n v="1"/>
    <n v="9"/>
    <n v="7"/>
    <x v="0"/>
    <n v="7"/>
  </r>
  <r>
    <n v="44"/>
    <x v="1"/>
    <x v="0"/>
    <n v="136"/>
    <x v="1"/>
    <n v="28"/>
    <n v="3"/>
    <x v="0"/>
    <n v="1"/>
    <n v="1523"/>
    <n v="4"/>
    <x v="1"/>
    <n v="32"/>
    <n v="3"/>
    <x v="3"/>
    <s v="Research Director"/>
    <n v="1"/>
    <s v="Married"/>
    <x v="1007"/>
    <n v="22074"/>
    <n v="3"/>
    <s v="Y"/>
    <x v="1"/>
    <n v="13"/>
    <n v="3"/>
    <n v="3"/>
    <x v="0"/>
    <n v="1"/>
    <n v="24"/>
    <n v="1"/>
    <n v="4"/>
    <n v="20"/>
    <n v="6"/>
    <x v="15"/>
    <n v="17"/>
  </r>
  <r>
    <n v="39"/>
    <x v="1"/>
    <x v="0"/>
    <n v="1089"/>
    <x v="1"/>
    <n v="6"/>
    <n v="3"/>
    <x v="0"/>
    <n v="1"/>
    <n v="1525"/>
    <n v="2"/>
    <x v="0"/>
    <n v="32"/>
    <n v="3"/>
    <x v="2"/>
    <s v="Manufacturing Director"/>
    <n v="2"/>
    <s v="Single"/>
    <x v="1008"/>
    <n v="9150"/>
    <n v="4"/>
    <s v="Y"/>
    <x v="1"/>
    <n v="18"/>
    <n v="3"/>
    <n v="4"/>
    <x v="0"/>
    <n v="0"/>
    <n v="9"/>
    <n v="3"/>
    <n v="3"/>
    <n v="2"/>
    <n v="0"/>
    <x v="3"/>
    <n v="2"/>
  </r>
  <r>
    <n v="46"/>
    <x v="1"/>
    <x v="0"/>
    <n v="228"/>
    <x v="0"/>
    <n v="3"/>
    <n v="3"/>
    <x v="0"/>
    <n v="1"/>
    <n v="1527"/>
    <n v="3"/>
    <x v="0"/>
    <n v="51"/>
    <n v="3"/>
    <x v="3"/>
    <s v="Manager"/>
    <n v="2"/>
    <s v="Married"/>
    <x v="1009"/>
    <n v="11380"/>
    <n v="8"/>
    <s v="Y"/>
    <x v="1"/>
    <n v="12"/>
    <n v="3"/>
    <n v="4"/>
    <x v="0"/>
    <n v="1"/>
    <n v="23"/>
    <n v="2"/>
    <n v="4"/>
    <n v="13"/>
    <n v="12"/>
    <x v="8"/>
    <n v="1"/>
  </r>
  <r>
    <n v="35"/>
    <x v="1"/>
    <x v="0"/>
    <n v="1029"/>
    <x v="1"/>
    <n v="16"/>
    <n v="3"/>
    <x v="0"/>
    <n v="1"/>
    <n v="1529"/>
    <n v="4"/>
    <x v="0"/>
    <n v="91"/>
    <n v="2"/>
    <x v="2"/>
    <s v="Healthcare Representative"/>
    <n v="2"/>
    <s v="Single"/>
    <x v="1010"/>
    <n v="21195"/>
    <n v="1"/>
    <s v="Y"/>
    <x v="1"/>
    <n v="19"/>
    <n v="3"/>
    <n v="4"/>
    <x v="0"/>
    <n v="0"/>
    <n v="11"/>
    <n v="3"/>
    <n v="1"/>
    <n v="11"/>
    <n v="8"/>
    <x v="2"/>
    <n v="3"/>
  </r>
  <r>
    <n v="23"/>
    <x v="1"/>
    <x v="0"/>
    <n v="507"/>
    <x v="1"/>
    <n v="20"/>
    <n v="1"/>
    <x v="0"/>
    <n v="1"/>
    <n v="1533"/>
    <n v="1"/>
    <x v="1"/>
    <n v="97"/>
    <n v="3"/>
    <x v="0"/>
    <s v="Laboratory Technician"/>
    <n v="3"/>
    <s v="Single"/>
    <x v="1011"/>
    <n v="24812"/>
    <n v="0"/>
    <s v="Y"/>
    <x v="1"/>
    <n v="14"/>
    <n v="3"/>
    <n v="2"/>
    <x v="0"/>
    <n v="0"/>
    <n v="5"/>
    <n v="2"/>
    <n v="3"/>
    <n v="4"/>
    <n v="3"/>
    <x v="1"/>
    <n v="2"/>
  </r>
  <r>
    <n v="40"/>
    <x v="0"/>
    <x v="0"/>
    <n v="676"/>
    <x v="1"/>
    <n v="9"/>
    <n v="4"/>
    <x v="0"/>
    <n v="1"/>
    <n v="1534"/>
    <n v="4"/>
    <x v="1"/>
    <n v="86"/>
    <n v="3"/>
    <x v="1"/>
    <s v="Laboratory Technician"/>
    <n v="1"/>
    <s v="Single"/>
    <x v="1012"/>
    <n v="21831"/>
    <n v="3"/>
    <s v="Y"/>
    <x v="1"/>
    <n v="14"/>
    <n v="3"/>
    <n v="2"/>
    <x v="0"/>
    <n v="0"/>
    <n v="15"/>
    <n v="3"/>
    <n v="1"/>
    <n v="5"/>
    <n v="4"/>
    <x v="1"/>
    <n v="0"/>
  </r>
  <r>
    <n v="34"/>
    <x v="1"/>
    <x v="0"/>
    <n v="971"/>
    <x v="0"/>
    <n v="1"/>
    <n v="3"/>
    <x v="4"/>
    <n v="1"/>
    <n v="1535"/>
    <n v="4"/>
    <x v="1"/>
    <n v="64"/>
    <n v="2"/>
    <x v="2"/>
    <s v="Sales Executive"/>
    <n v="3"/>
    <s v="Married"/>
    <x v="1013"/>
    <n v="12288"/>
    <n v="1"/>
    <s v="Y"/>
    <x v="0"/>
    <n v="14"/>
    <n v="3"/>
    <n v="4"/>
    <x v="0"/>
    <n v="0"/>
    <n v="10"/>
    <n v="3"/>
    <n v="3"/>
    <n v="10"/>
    <n v="9"/>
    <x v="6"/>
    <n v="6"/>
  </r>
  <r>
    <n v="31"/>
    <x v="0"/>
    <x v="1"/>
    <n v="561"/>
    <x v="1"/>
    <n v="3"/>
    <n v="3"/>
    <x v="0"/>
    <n v="1"/>
    <n v="1537"/>
    <n v="4"/>
    <x v="0"/>
    <n v="33"/>
    <n v="3"/>
    <x v="1"/>
    <s v="Research Scientist"/>
    <n v="3"/>
    <s v="Single"/>
    <x v="1014"/>
    <n v="4156"/>
    <n v="1"/>
    <s v="Y"/>
    <x v="1"/>
    <n v="12"/>
    <n v="3"/>
    <n v="1"/>
    <x v="0"/>
    <n v="0"/>
    <n v="7"/>
    <n v="2"/>
    <n v="1"/>
    <n v="7"/>
    <n v="2"/>
    <x v="4"/>
    <n v="7"/>
  </r>
  <r>
    <n v="50"/>
    <x v="1"/>
    <x v="1"/>
    <n v="333"/>
    <x v="1"/>
    <n v="22"/>
    <n v="5"/>
    <x v="2"/>
    <n v="1"/>
    <n v="1539"/>
    <n v="3"/>
    <x v="1"/>
    <n v="88"/>
    <n v="1"/>
    <x v="3"/>
    <s v="Research Director"/>
    <n v="4"/>
    <s v="Single"/>
    <x v="1015"/>
    <n v="24450"/>
    <n v="1"/>
    <s v="Y"/>
    <x v="0"/>
    <n v="13"/>
    <n v="3"/>
    <n v="4"/>
    <x v="0"/>
    <n v="0"/>
    <n v="32"/>
    <n v="2"/>
    <n v="3"/>
    <n v="32"/>
    <n v="6"/>
    <x v="11"/>
    <n v="9"/>
  </r>
  <r>
    <n v="34"/>
    <x v="1"/>
    <x v="0"/>
    <n v="1440"/>
    <x v="0"/>
    <n v="7"/>
    <n v="2"/>
    <x v="4"/>
    <n v="1"/>
    <n v="1541"/>
    <n v="2"/>
    <x v="1"/>
    <n v="55"/>
    <n v="3"/>
    <x v="1"/>
    <s v="Sales Representative"/>
    <n v="3"/>
    <s v="Married"/>
    <x v="1016"/>
    <n v="4944"/>
    <n v="0"/>
    <s v="Y"/>
    <x v="0"/>
    <n v="25"/>
    <n v="4"/>
    <n v="2"/>
    <x v="0"/>
    <n v="1"/>
    <n v="12"/>
    <n v="4"/>
    <n v="3"/>
    <n v="11"/>
    <n v="10"/>
    <x v="8"/>
    <n v="7"/>
  </r>
  <r>
    <n v="42"/>
    <x v="1"/>
    <x v="0"/>
    <n v="1210"/>
    <x v="1"/>
    <n v="2"/>
    <n v="3"/>
    <x v="2"/>
    <n v="1"/>
    <n v="1542"/>
    <n v="3"/>
    <x v="1"/>
    <n v="68"/>
    <n v="2"/>
    <x v="1"/>
    <s v="Laboratory Technician"/>
    <n v="2"/>
    <s v="Married"/>
    <x v="1017"/>
    <n v="24052"/>
    <n v="4"/>
    <s v="Y"/>
    <x v="1"/>
    <n v="14"/>
    <n v="3"/>
    <n v="2"/>
    <x v="0"/>
    <n v="1"/>
    <n v="4"/>
    <n v="3"/>
    <n v="3"/>
    <n v="1"/>
    <n v="0"/>
    <x v="0"/>
    <n v="0"/>
  </r>
  <r>
    <n v="37"/>
    <x v="1"/>
    <x v="0"/>
    <n v="674"/>
    <x v="1"/>
    <n v="13"/>
    <n v="3"/>
    <x v="2"/>
    <n v="1"/>
    <n v="1543"/>
    <n v="1"/>
    <x v="1"/>
    <n v="47"/>
    <n v="3"/>
    <x v="0"/>
    <s v="Research Scientist"/>
    <n v="4"/>
    <s v="Married"/>
    <x v="1018"/>
    <n v="3031"/>
    <n v="1"/>
    <s v="Y"/>
    <x v="1"/>
    <n v="17"/>
    <n v="3"/>
    <n v="1"/>
    <x v="0"/>
    <n v="0"/>
    <n v="10"/>
    <n v="2"/>
    <n v="3"/>
    <n v="10"/>
    <n v="8"/>
    <x v="2"/>
    <n v="7"/>
  </r>
  <r>
    <n v="29"/>
    <x v="1"/>
    <x v="0"/>
    <n v="441"/>
    <x v="1"/>
    <n v="8"/>
    <n v="1"/>
    <x v="1"/>
    <n v="1"/>
    <n v="1544"/>
    <n v="3"/>
    <x v="0"/>
    <n v="39"/>
    <n v="1"/>
    <x v="0"/>
    <s v="Healthcare Representative"/>
    <n v="1"/>
    <s v="Married"/>
    <x v="1019"/>
    <n v="7288"/>
    <n v="3"/>
    <s v="Y"/>
    <x v="1"/>
    <n v="13"/>
    <n v="3"/>
    <n v="3"/>
    <x v="0"/>
    <n v="1"/>
    <n v="9"/>
    <n v="3"/>
    <n v="3"/>
    <n v="7"/>
    <n v="7"/>
    <x v="0"/>
    <n v="7"/>
  </r>
  <r>
    <n v="33"/>
    <x v="1"/>
    <x v="0"/>
    <n v="575"/>
    <x v="1"/>
    <n v="25"/>
    <n v="3"/>
    <x v="0"/>
    <n v="1"/>
    <n v="1545"/>
    <n v="4"/>
    <x v="1"/>
    <n v="44"/>
    <n v="2"/>
    <x v="0"/>
    <s v="Manufacturing Director"/>
    <n v="2"/>
    <s v="Single"/>
    <x v="1020"/>
    <n v="24152"/>
    <n v="1"/>
    <s v="Y"/>
    <x v="1"/>
    <n v="13"/>
    <n v="3"/>
    <n v="4"/>
    <x v="0"/>
    <n v="0"/>
    <n v="5"/>
    <n v="2"/>
    <n v="3"/>
    <n v="5"/>
    <n v="3"/>
    <x v="0"/>
    <n v="2"/>
  </r>
  <r>
    <n v="45"/>
    <x v="1"/>
    <x v="0"/>
    <n v="950"/>
    <x v="1"/>
    <n v="28"/>
    <n v="3"/>
    <x v="4"/>
    <n v="1"/>
    <n v="1546"/>
    <n v="4"/>
    <x v="1"/>
    <n v="97"/>
    <n v="3"/>
    <x v="1"/>
    <s v="Research Scientist"/>
    <n v="4"/>
    <s v="Married"/>
    <x v="685"/>
    <n v="4585"/>
    <n v="4"/>
    <s v="Y"/>
    <x v="1"/>
    <n v="20"/>
    <n v="4"/>
    <n v="4"/>
    <x v="0"/>
    <n v="1"/>
    <n v="8"/>
    <n v="3"/>
    <n v="3"/>
    <n v="5"/>
    <n v="4"/>
    <x v="0"/>
    <n v="3"/>
  </r>
  <r>
    <n v="42"/>
    <x v="1"/>
    <x v="1"/>
    <n v="288"/>
    <x v="1"/>
    <n v="2"/>
    <n v="3"/>
    <x v="0"/>
    <n v="1"/>
    <n v="1547"/>
    <n v="4"/>
    <x v="1"/>
    <n v="40"/>
    <n v="3"/>
    <x v="2"/>
    <s v="Healthcare Representative"/>
    <n v="4"/>
    <s v="Married"/>
    <x v="1021"/>
    <n v="18611"/>
    <n v="2"/>
    <s v="Y"/>
    <x v="0"/>
    <n v="14"/>
    <n v="3"/>
    <n v="3"/>
    <x v="0"/>
    <n v="1"/>
    <n v="24"/>
    <n v="3"/>
    <n v="1"/>
    <n v="20"/>
    <n v="8"/>
    <x v="11"/>
    <n v="9"/>
  </r>
  <r>
    <n v="40"/>
    <x v="1"/>
    <x v="0"/>
    <n v="1342"/>
    <x v="0"/>
    <n v="9"/>
    <n v="2"/>
    <x v="2"/>
    <n v="1"/>
    <n v="1548"/>
    <n v="1"/>
    <x v="1"/>
    <n v="47"/>
    <n v="3"/>
    <x v="0"/>
    <s v="Sales Executive"/>
    <n v="1"/>
    <s v="Married"/>
    <x v="67"/>
    <n v="19345"/>
    <n v="0"/>
    <s v="Y"/>
    <x v="1"/>
    <n v="12"/>
    <n v="3"/>
    <n v="4"/>
    <x v="0"/>
    <n v="0"/>
    <n v="9"/>
    <n v="5"/>
    <n v="4"/>
    <n v="8"/>
    <n v="4"/>
    <x v="4"/>
    <n v="1"/>
  </r>
  <r>
    <n v="33"/>
    <x v="1"/>
    <x v="0"/>
    <n v="589"/>
    <x v="1"/>
    <n v="28"/>
    <n v="4"/>
    <x v="0"/>
    <n v="1"/>
    <n v="1549"/>
    <n v="2"/>
    <x v="1"/>
    <n v="79"/>
    <n v="3"/>
    <x v="0"/>
    <s v="Laboratory Technician"/>
    <n v="3"/>
    <s v="Married"/>
    <x v="1022"/>
    <n v="22949"/>
    <n v="1"/>
    <s v="Y"/>
    <x v="0"/>
    <n v="12"/>
    <n v="3"/>
    <n v="2"/>
    <x v="0"/>
    <n v="1"/>
    <n v="15"/>
    <n v="3"/>
    <n v="3"/>
    <n v="15"/>
    <n v="14"/>
    <x v="8"/>
    <n v="7"/>
  </r>
  <r>
    <n v="40"/>
    <x v="1"/>
    <x v="0"/>
    <n v="898"/>
    <x v="2"/>
    <n v="6"/>
    <n v="2"/>
    <x v="2"/>
    <n v="1"/>
    <n v="1550"/>
    <n v="3"/>
    <x v="1"/>
    <n v="38"/>
    <n v="3"/>
    <x v="3"/>
    <s v="Manager"/>
    <n v="4"/>
    <s v="Single"/>
    <x v="1023"/>
    <n v="17381"/>
    <n v="1"/>
    <s v="Y"/>
    <x v="0"/>
    <n v="21"/>
    <n v="4"/>
    <n v="4"/>
    <x v="0"/>
    <n v="0"/>
    <n v="21"/>
    <n v="2"/>
    <n v="3"/>
    <n v="21"/>
    <n v="7"/>
    <x v="4"/>
    <n v="7"/>
  </r>
  <r>
    <n v="24"/>
    <x v="1"/>
    <x v="0"/>
    <n v="350"/>
    <x v="1"/>
    <n v="21"/>
    <n v="2"/>
    <x v="4"/>
    <n v="1"/>
    <n v="1551"/>
    <n v="3"/>
    <x v="1"/>
    <n v="57"/>
    <n v="2"/>
    <x v="1"/>
    <s v="Laboratory Technician"/>
    <n v="1"/>
    <s v="Divorced"/>
    <x v="1024"/>
    <n v="10036"/>
    <n v="0"/>
    <s v="Y"/>
    <x v="1"/>
    <n v="14"/>
    <n v="3"/>
    <n v="2"/>
    <x v="0"/>
    <n v="3"/>
    <n v="2"/>
    <n v="3"/>
    <n v="3"/>
    <n v="1"/>
    <n v="1"/>
    <x v="0"/>
    <n v="0"/>
  </r>
  <r>
    <n v="40"/>
    <x v="1"/>
    <x v="2"/>
    <n v="1142"/>
    <x v="1"/>
    <n v="8"/>
    <n v="2"/>
    <x v="0"/>
    <n v="1"/>
    <n v="1552"/>
    <n v="4"/>
    <x v="1"/>
    <n v="72"/>
    <n v="3"/>
    <x v="0"/>
    <s v="Healthcare Representative"/>
    <n v="4"/>
    <s v="Divorced"/>
    <x v="1025"/>
    <n v="8841"/>
    <n v="3"/>
    <s v="Y"/>
    <x v="0"/>
    <n v="18"/>
    <n v="3"/>
    <n v="3"/>
    <x v="0"/>
    <n v="0"/>
    <n v="8"/>
    <n v="2"/>
    <n v="3"/>
    <n v="2"/>
    <n v="2"/>
    <x v="3"/>
    <n v="2"/>
  </r>
  <r>
    <n v="45"/>
    <x v="1"/>
    <x v="0"/>
    <n v="538"/>
    <x v="1"/>
    <n v="1"/>
    <n v="4"/>
    <x v="4"/>
    <n v="1"/>
    <n v="1553"/>
    <n v="1"/>
    <x v="1"/>
    <n v="66"/>
    <n v="3"/>
    <x v="2"/>
    <s v="Healthcare Representative"/>
    <n v="2"/>
    <s v="Divorced"/>
    <x v="1026"/>
    <n v="20933"/>
    <n v="1"/>
    <s v="Y"/>
    <x v="1"/>
    <n v="12"/>
    <n v="3"/>
    <n v="1"/>
    <x v="0"/>
    <n v="3"/>
    <n v="10"/>
    <n v="4"/>
    <n v="3"/>
    <n v="10"/>
    <n v="8"/>
    <x v="4"/>
    <n v="7"/>
  </r>
  <r>
    <n v="35"/>
    <x v="1"/>
    <x v="0"/>
    <n v="1402"/>
    <x v="0"/>
    <n v="28"/>
    <n v="4"/>
    <x v="0"/>
    <n v="1"/>
    <n v="1554"/>
    <n v="2"/>
    <x v="0"/>
    <n v="98"/>
    <n v="2"/>
    <x v="1"/>
    <s v="Sales Representative"/>
    <n v="3"/>
    <s v="Married"/>
    <x v="1027"/>
    <n v="26204"/>
    <n v="0"/>
    <s v="Y"/>
    <x v="1"/>
    <n v="23"/>
    <n v="4"/>
    <n v="1"/>
    <x v="0"/>
    <n v="2"/>
    <n v="6"/>
    <n v="5"/>
    <n v="3"/>
    <n v="5"/>
    <n v="3"/>
    <x v="5"/>
    <n v="2"/>
  </r>
  <r>
    <n v="32"/>
    <x v="1"/>
    <x v="0"/>
    <n v="824"/>
    <x v="1"/>
    <n v="5"/>
    <n v="2"/>
    <x v="0"/>
    <n v="1"/>
    <n v="1555"/>
    <n v="4"/>
    <x v="0"/>
    <n v="67"/>
    <n v="2"/>
    <x v="0"/>
    <s v="Research Scientist"/>
    <n v="2"/>
    <s v="Married"/>
    <x v="1028"/>
    <n v="15624"/>
    <n v="3"/>
    <s v="Y"/>
    <x v="1"/>
    <n v="12"/>
    <n v="3"/>
    <n v="1"/>
    <x v="0"/>
    <n v="1"/>
    <n v="12"/>
    <n v="2"/>
    <n v="3"/>
    <n v="7"/>
    <n v="1"/>
    <x v="3"/>
    <n v="5"/>
  </r>
  <r>
    <n v="36"/>
    <x v="1"/>
    <x v="0"/>
    <n v="1157"/>
    <x v="0"/>
    <n v="2"/>
    <n v="4"/>
    <x v="0"/>
    <n v="1"/>
    <n v="1556"/>
    <n v="3"/>
    <x v="1"/>
    <n v="70"/>
    <n v="3"/>
    <x v="1"/>
    <s v="Sales Representative"/>
    <n v="4"/>
    <s v="Single"/>
    <x v="1029"/>
    <n v="17001"/>
    <n v="3"/>
    <s v="Y"/>
    <x v="0"/>
    <n v="21"/>
    <n v="4"/>
    <n v="4"/>
    <x v="0"/>
    <n v="0"/>
    <n v="7"/>
    <n v="3"/>
    <n v="2"/>
    <n v="3"/>
    <n v="2"/>
    <x v="1"/>
    <n v="2"/>
  </r>
  <r>
    <n v="48"/>
    <x v="1"/>
    <x v="0"/>
    <n v="492"/>
    <x v="0"/>
    <n v="16"/>
    <n v="4"/>
    <x v="0"/>
    <n v="1"/>
    <n v="1557"/>
    <n v="3"/>
    <x v="0"/>
    <n v="96"/>
    <n v="3"/>
    <x v="0"/>
    <s v="Sales Executive"/>
    <n v="3"/>
    <s v="Divorced"/>
    <x v="1030"/>
    <n v="13693"/>
    <n v="8"/>
    <s v="Y"/>
    <x v="1"/>
    <n v="14"/>
    <n v="3"/>
    <n v="3"/>
    <x v="0"/>
    <n v="1"/>
    <n v="18"/>
    <n v="2"/>
    <n v="3"/>
    <n v="8"/>
    <n v="7"/>
    <x v="4"/>
    <n v="7"/>
  </r>
  <r>
    <n v="29"/>
    <x v="1"/>
    <x v="0"/>
    <n v="598"/>
    <x v="1"/>
    <n v="9"/>
    <n v="3"/>
    <x v="0"/>
    <n v="1"/>
    <n v="1558"/>
    <n v="3"/>
    <x v="1"/>
    <n v="91"/>
    <n v="4"/>
    <x v="1"/>
    <s v="Research Scientist"/>
    <n v="3"/>
    <s v="Married"/>
    <x v="163"/>
    <n v="22376"/>
    <n v="6"/>
    <s v="Y"/>
    <x v="1"/>
    <n v="18"/>
    <n v="3"/>
    <n v="1"/>
    <x v="0"/>
    <n v="2"/>
    <n v="5"/>
    <n v="2"/>
    <n v="2"/>
    <n v="1"/>
    <n v="0"/>
    <x v="0"/>
    <n v="0"/>
  </r>
  <r>
    <n v="33"/>
    <x v="1"/>
    <x v="0"/>
    <n v="1242"/>
    <x v="0"/>
    <n v="8"/>
    <n v="4"/>
    <x v="0"/>
    <n v="1"/>
    <n v="1560"/>
    <n v="1"/>
    <x v="1"/>
    <n v="46"/>
    <n v="3"/>
    <x v="0"/>
    <s v="Sales Executive"/>
    <n v="1"/>
    <s v="Married"/>
    <x v="1031"/>
    <n v="10589"/>
    <n v="2"/>
    <s v="Y"/>
    <x v="1"/>
    <n v="13"/>
    <n v="3"/>
    <n v="4"/>
    <x v="0"/>
    <n v="1"/>
    <n v="8"/>
    <n v="6"/>
    <n v="1"/>
    <n v="2"/>
    <n v="2"/>
    <x v="3"/>
    <n v="2"/>
  </r>
  <r>
    <n v="30"/>
    <x v="0"/>
    <x v="0"/>
    <n v="740"/>
    <x v="0"/>
    <n v="1"/>
    <n v="3"/>
    <x v="0"/>
    <n v="1"/>
    <n v="1562"/>
    <n v="2"/>
    <x v="1"/>
    <n v="64"/>
    <n v="2"/>
    <x v="0"/>
    <s v="Sales Executive"/>
    <n v="1"/>
    <s v="Married"/>
    <x v="1032"/>
    <n v="5323"/>
    <n v="1"/>
    <s v="Y"/>
    <x v="1"/>
    <n v="11"/>
    <n v="3"/>
    <n v="4"/>
    <x v="0"/>
    <n v="1"/>
    <n v="10"/>
    <n v="4"/>
    <n v="3"/>
    <n v="10"/>
    <n v="8"/>
    <x v="7"/>
    <n v="7"/>
  </r>
  <r>
    <n v="38"/>
    <x v="1"/>
    <x v="1"/>
    <n v="888"/>
    <x v="2"/>
    <n v="10"/>
    <n v="4"/>
    <x v="5"/>
    <n v="1"/>
    <n v="1563"/>
    <n v="3"/>
    <x v="1"/>
    <n v="71"/>
    <n v="3"/>
    <x v="0"/>
    <s v="Human Resources"/>
    <n v="3"/>
    <s v="Married"/>
    <x v="1033"/>
    <n v="14814"/>
    <n v="3"/>
    <s v="Y"/>
    <x v="1"/>
    <n v="11"/>
    <n v="3"/>
    <n v="3"/>
    <x v="0"/>
    <n v="0"/>
    <n v="10"/>
    <n v="2"/>
    <n v="3"/>
    <n v="6"/>
    <n v="3"/>
    <x v="1"/>
    <n v="2"/>
  </r>
  <r>
    <n v="35"/>
    <x v="1"/>
    <x v="0"/>
    <n v="992"/>
    <x v="1"/>
    <n v="1"/>
    <n v="3"/>
    <x v="2"/>
    <n v="1"/>
    <n v="1564"/>
    <n v="4"/>
    <x v="1"/>
    <n v="68"/>
    <n v="2"/>
    <x v="1"/>
    <s v="Laboratory Technician"/>
    <n v="1"/>
    <s v="Single"/>
    <x v="533"/>
    <n v="21731"/>
    <n v="1"/>
    <s v="Y"/>
    <x v="1"/>
    <n v="19"/>
    <n v="3"/>
    <n v="2"/>
    <x v="0"/>
    <n v="0"/>
    <n v="3"/>
    <n v="3"/>
    <n v="3"/>
    <n v="3"/>
    <n v="0"/>
    <x v="1"/>
    <n v="2"/>
  </r>
  <r>
    <n v="30"/>
    <x v="1"/>
    <x v="0"/>
    <n v="1288"/>
    <x v="0"/>
    <n v="29"/>
    <n v="4"/>
    <x v="4"/>
    <n v="1"/>
    <n v="1568"/>
    <n v="3"/>
    <x v="1"/>
    <n v="33"/>
    <n v="3"/>
    <x v="2"/>
    <s v="Sales Executive"/>
    <n v="2"/>
    <s v="Married"/>
    <x v="1034"/>
    <n v="17799"/>
    <n v="3"/>
    <s v="Y"/>
    <x v="1"/>
    <n v="12"/>
    <n v="3"/>
    <n v="2"/>
    <x v="0"/>
    <n v="1"/>
    <n v="9"/>
    <n v="3"/>
    <n v="3"/>
    <n v="4"/>
    <n v="2"/>
    <x v="1"/>
    <n v="3"/>
  </r>
  <r>
    <n v="35"/>
    <x v="0"/>
    <x v="0"/>
    <n v="104"/>
    <x v="1"/>
    <n v="2"/>
    <n v="3"/>
    <x v="0"/>
    <n v="1"/>
    <n v="1569"/>
    <n v="1"/>
    <x v="0"/>
    <n v="69"/>
    <n v="3"/>
    <x v="1"/>
    <s v="Laboratory Technician"/>
    <n v="1"/>
    <s v="Divorced"/>
    <x v="1035"/>
    <n v="26619"/>
    <n v="1"/>
    <s v="Y"/>
    <x v="0"/>
    <n v="12"/>
    <n v="3"/>
    <n v="4"/>
    <x v="0"/>
    <n v="1"/>
    <n v="1"/>
    <n v="2"/>
    <n v="3"/>
    <n v="1"/>
    <n v="0"/>
    <x v="0"/>
    <n v="0"/>
  </r>
  <r>
    <n v="53"/>
    <x v="0"/>
    <x v="0"/>
    <n v="607"/>
    <x v="1"/>
    <n v="2"/>
    <n v="5"/>
    <x v="4"/>
    <n v="1"/>
    <n v="1572"/>
    <n v="3"/>
    <x v="0"/>
    <n v="78"/>
    <n v="2"/>
    <x v="2"/>
    <s v="Manufacturing Director"/>
    <n v="4"/>
    <s v="Married"/>
    <x v="1036"/>
    <n v="14618"/>
    <n v="0"/>
    <s v="Y"/>
    <x v="1"/>
    <n v="16"/>
    <n v="3"/>
    <n v="2"/>
    <x v="0"/>
    <n v="1"/>
    <n v="34"/>
    <n v="4"/>
    <n v="3"/>
    <n v="33"/>
    <n v="7"/>
    <x v="1"/>
    <n v="9"/>
  </r>
  <r>
    <n v="38"/>
    <x v="0"/>
    <x v="0"/>
    <n v="903"/>
    <x v="1"/>
    <n v="2"/>
    <n v="3"/>
    <x v="2"/>
    <n v="1"/>
    <n v="1573"/>
    <n v="3"/>
    <x v="1"/>
    <n v="81"/>
    <n v="3"/>
    <x v="0"/>
    <s v="Manufacturing Director"/>
    <n v="2"/>
    <s v="Married"/>
    <x v="1037"/>
    <n v="7653"/>
    <n v="4"/>
    <s v="Y"/>
    <x v="1"/>
    <n v="11"/>
    <n v="3"/>
    <n v="1"/>
    <x v="0"/>
    <n v="2"/>
    <n v="7"/>
    <n v="2"/>
    <n v="3"/>
    <n v="5"/>
    <n v="2"/>
    <x v="1"/>
    <n v="4"/>
  </r>
  <r>
    <n v="32"/>
    <x v="1"/>
    <x v="2"/>
    <n v="1200"/>
    <x v="1"/>
    <n v="1"/>
    <n v="4"/>
    <x v="4"/>
    <n v="1"/>
    <n v="1574"/>
    <n v="4"/>
    <x v="1"/>
    <n v="62"/>
    <n v="3"/>
    <x v="0"/>
    <s v="Research Scientist"/>
    <n v="1"/>
    <s v="Married"/>
    <x v="1038"/>
    <n v="25174"/>
    <n v="4"/>
    <s v="Y"/>
    <x v="1"/>
    <n v="14"/>
    <n v="3"/>
    <n v="2"/>
    <x v="0"/>
    <n v="1"/>
    <n v="9"/>
    <n v="3"/>
    <n v="2"/>
    <n v="6"/>
    <n v="5"/>
    <x v="1"/>
    <n v="2"/>
  </r>
  <r>
    <n v="48"/>
    <x v="1"/>
    <x v="0"/>
    <n v="1108"/>
    <x v="1"/>
    <n v="15"/>
    <n v="4"/>
    <x v="1"/>
    <n v="1"/>
    <n v="1576"/>
    <n v="3"/>
    <x v="0"/>
    <n v="65"/>
    <n v="3"/>
    <x v="1"/>
    <s v="Research Scientist"/>
    <n v="1"/>
    <s v="Married"/>
    <x v="1039"/>
    <n v="16530"/>
    <n v="8"/>
    <s v="Y"/>
    <x v="1"/>
    <n v="12"/>
    <n v="3"/>
    <n v="4"/>
    <x v="0"/>
    <n v="1"/>
    <n v="10"/>
    <n v="3"/>
    <n v="2"/>
    <n v="8"/>
    <n v="2"/>
    <x v="4"/>
    <n v="6"/>
  </r>
  <r>
    <n v="34"/>
    <x v="1"/>
    <x v="0"/>
    <n v="479"/>
    <x v="1"/>
    <n v="7"/>
    <n v="4"/>
    <x v="2"/>
    <n v="1"/>
    <n v="1577"/>
    <n v="1"/>
    <x v="1"/>
    <n v="35"/>
    <n v="3"/>
    <x v="1"/>
    <s v="Research Scientist"/>
    <n v="4"/>
    <s v="Single"/>
    <x v="1040"/>
    <n v="22061"/>
    <n v="1"/>
    <s v="Y"/>
    <x v="1"/>
    <n v="13"/>
    <n v="3"/>
    <n v="3"/>
    <x v="0"/>
    <n v="0"/>
    <n v="1"/>
    <n v="4"/>
    <n v="1"/>
    <n v="1"/>
    <n v="0"/>
    <x v="0"/>
    <n v="0"/>
  </r>
  <r>
    <n v="55"/>
    <x v="1"/>
    <x v="0"/>
    <n v="685"/>
    <x v="0"/>
    <n v="26"/>
    <n v="5"/>
    <x v="3"/>
    <n v="1"/>
    <n v="1578"/>
    <n v="3"/>
    <x v="1"/>
    <n v="60"/>
    <n v="2"/>
    <x v="4"/>
    <s v="Manager"/>
    <n v="4"/>
    <s v="Married"/>
    <x v="1041"/>
    <n v="23037"/>
    <n v="1"/>
    <s v="Y"/>
    <x v="1"/>
    <n v="21"/>
    <n v="4"/>
    <n v="3"/>
    <x v="0"/>
    <n v="1"/>
    <n v="36"/>
    <n v="3"/>
    <n v="3"/>
    <n v="36"/>
    <n v="6"/>
    <x v="3"/>
    <n v="13"/>
  </r>
  <r>
    <n v="34"/>
    <x v="1"/>
    <x v="0"/>
    <n v="1351"/>
    <x v="1"/>
    <n v="1"/>
    <n v="4"/>
    <x v="0"/>
    <n v="1"/>
    <n v="1580"/>
    <n v="2"/>
    <x v="1"/>
    <n v="45"/>
    <n v="3"/>
    <x v="0"/>
    <s v="Research Scientist"/>
    <n v="4"/>
    <s v="Married"/>
    <x v="299"/>
    <n v="13008"/>
    <n v="9"/>
    <s v="Y"/>
    <x v="1"/>
    <n v="17"/>
    <n v="3"/>
    <n v="2"/>
    <x v="0"/>
    <n v="1"/>
    <n v="9"/>
    <n v="3"/>
    <n v="2"/>
    <n v="2"/>
    <n v="2"/>
    <x v="3"/>
    <n v="1"/>
  </r>
  <r>
    <n v="26"/>
    <x v="1"/>
    <x v="0"/>
    <n v="474"/>
    <x v="1"/>
    <n v="3"/>
    <n v="3"/>
    <x v="0"/>
    <n v="1"/>
    <n v="1581"/>
    <n v="1"/>
    <x v="0"/>
    <n v="89"/>
    <n v="3"/>
    <x v="1"/>
    <s v="Research Scientist"/>
    <n v="4"/>
    <s v="Married"/>
    <x v="1042"/>
    <n v="11133"/>
    <n v="1"/>
    <s v="Y"/>
    <x v="1"/>
    <n v="21"/>
    <n v="4"/>
    <n v="1"/>
    <x v="0"/>
    <n v="0"/>
    <n v="1"/>
    <n v="5"/>
    <n v="3"/>
    <n v="1"/>
    <n v="0"/>
    <x v="0"/>
    <n v="0"/>
  </r>
  <r>
    <n v="38"/>
    <x v="1"/>
    <x v="0"/>
    <n v="1245"/>
    <x v="0"/>
    <n v="14"/>
    <n v="3"/>
    <x v="0"/>
    <n v="1"/>
    <n v="1582"/>
    <n v="3"/>
    <x v="1"/>
    <n v="80"/>
    <n v="3"/>
    <x v="0"/>
    <s v="Sales Executive"/>
    <n v="2"/>
    <s v="Married"/>
    <x v="1043"/>
    <n v="12355"/>
    <n v="0"/>
    <s v="Y"/>
    <x v="1"/>
    <n v="11"/>
    <n v="3"/>
    <n v="4"/>
    <x v="0"/>
    <n v="1"/>
    <n v="10"/>
    <n v="3"/>
    <n v="3"/>
    <n v="9"/>
    <n v="8"/>
    <x v="4"/>
    <n v="7"/>
  </r>
  <r>
    <n v="38"/>
    <x v="1"/>
    <x v="0"/>
    <n v="437"/>
    <x v="0"/>
    <n v="16"/>
    <n v="3"/>
    <x v="0"/>
    <n v="1"/>
    <n v="1583"/>
    <n v="2"/>
    <x v="0"/>
    <n v="90"/>
    <n v="3"/>
    <x v="0"/>
    <s v="Sales Executive"/>
    <n v="2"/>
    <s v="Single"/>
    <x v="1044"/>
    <n v="16379"/>
    <n v="2"/>
    <s v="Y"/>
    <x v="1"/>
    <n v="12"/>
    <n v="3"/>
    <n v="2"/>
    <x v="0"/>
    <n v="0"/>
    <n v="8"/>
    <n v="5"/>
    <n v="4"/>
    <n v="3"/>
    <n v="2"/>
    <x v="1"/>
    <n v="2"/>
  </r>
  <r>
    <n v="36"/>
    <x v="1"/>
    <x v="0"/>
    <n v="884"/>
    <x v="0"/>
    <n v="1"/>
    <n v="4"/>
    <x v="0"/>
    <n v="1"/>
    <n v="1585"/>
    <n v="2"/>
    <x v="0"/>
    <n v="73"/>
    <n v="3"/>
    <x v="0"/>
    <s v="Sales Executive"/>
    <n v="3"/>
    <s v="Single"/>
    <x v="1045"/>
    <n v="21447"/>
    <n v="6"/>
    <s v="Y"/>
    <x v="1"/>
    <n v="13"/>
    <n v="3"/>
    <n v="1"/>
    <x v="0"/>
    <n v="0"/>
    <n v="15"/>
    <n v="5"/>
    <n v="3"/>
    <n v="1"/>
    <n v="0"/>
    <x v="0"/>
    <n v="0"/>
  </r>
  <r>
    <n v="29"/>
    <x v="1"/>
    <x v="0"/>
    <n v="1370"/>
    <x v="1"/>
    <n v="3"/>
    <n v="1"/>
    <x v="2"/>
    <n v="1"/>
    <n v="1586"/>
    <n v="2"/>
    <x v="1"/>
    <n v="87"/>
    <n v="3"/>
    <x v="1"/>
    <s v="Laboratory Technician"/>
    <n v="1"/>
    <s v="Single"/>
    <x v="1046"/>
    <n v="16213"/>
    <n v="1"/>
    <s v="Y"/>
    <x v="0"/>
    <n v="18"/>
    <n v="3"/>
    <n v="4"/>
    <x v="0"/>
    <n v="0"/>
    <n v="10"/>
    <n v="3"/>
    <n v="3"/>
    <n v="10"/>
    <n v="9"/>
    <x v="1"/>
    <n v="5"/>
  </r>
  <r>
    <n v="35"/>
    <x v="1"/>
    <x v="0"/>
    <n v="670"/>
    <x v="1"/>
    <n v="10"/>
    <n v="4"/>
    <x v="2"/>
    <n v="1"/>
    <n v="1587"/>
    <n v="1"/>
    <x v="0"/>
    <n v="51"/>
    <n v="3"/>
    <x v="0"/>
    <s v="Healthcare Representative"/>
    <n v="3"/>
    <s v="Single"/>
    <x v="528"/>
    <n v="4223"/>
    <n v="3"/>
    <s v="Y"/>
    <x v="0"/>
    <n v="16"/>
    <n v="3"/>
    <n v="3"/>
    <x v="0"/>
    <n v="0"/>
    <n v="10"/>
    <n v="4"/>
    <n v="3"/>
    <n v="5"/>
    <n v="2"/>
    <x v="0"/>
    <n v="4"/>
  </r>
  <r>
    <n v="39"/>
    <x v="1"/>
    <x v="0"/>
    <n v="1462"/>
    <x v="0"/>
    <n v="6"/>
    <n v="3"/>
    <x v="2"/>
    <n v="1"/>
    <n v="1588"/>
    <n v="4"/>
    <x v="1"/>
    <n v="38"/>
    <n v="4"/>
    <x v="2"/>
    <s v="Sales Executive"/>
    <n v="3"/>
    <s v="Married"/>
    <x v="1047"/>
    <n v="4658"/>
    <n v="2"/>
    <s v="Y"/>
    <x v="1"/>
    <n v="11"/>
    <n v="3"/>
    <n v="1"/>
    <x v="0"/>
    <n v="1"/>
    <n v="11"/>
    <n v="3"/>
    <n v="3"/>
    <n v="7"/>
    <n v="6"/>
    <x v="4"/>
    <n v="6"/>
  </r>
  <r>
    <n v="29"/>
    <x v="1"/>
    <x v="1"/>
    <n v="995"/>
    <x v="1"/>
    <n v="2"/>
    <n v="1"/>
    <x v="0"/>
    <n v="1"/>
    <n v="1590"/>
    <n v="1"/>
    <x v="1"/>
    <n v="87"/>
    <n v="3"/>
    <x v="0"/>
    <s v="Healthcare Representative"/>
    <n v="4"/>
    <s v="Divorced"/>
    <x v="1048"/>
    <n v="24483"/>
    <n v="1"/>
    <s v="Y"/>
    <x v="1"/>
    <n v="19"/>
    <n v="3"/>
    <n v="4"/>
    <x v="0"/>
    <n v="1"/>
    <n v="6"/>
    <n v="0"/>
    <n v="4"/>
    <n v="6"/>
    <n v="4"/>
    <x v="1"/>
    <n v="3"/>
  </r>
  <r>
    <n v="50"/>
    <x v="1"/>
    <x v="0"/>
    <n v="264"/>
    <x v="0"/>
    <n v="9"/>
    <n v="3"/>
    <x v="3"/>
    <n v="1"/>
    <n v="1591"/>
    <n v="3"/>
    <x v="1"/>
    <n v="59"/>
    <n v="3"/>
    <x v="4"/>
    <s v="Manager"/>
    <n v="3"/>
    <s v="Married"/>
    <x v="1049"/>
    <n v="19519"/>
    <n v="4"/>
    <s v="Y"/>
    <x v="0"/>
    <n v="16"/>
    <n v="3"/>
    <n v="3"/>
    <x v="0"/>
    <n v="1"/>
    <n v="27"/>
    <n v="2"/>
    <n v="3"/>
    <n v="1"/>
    <n v="0"/>
    <x v="0"/>
    <n v="0"/>
  </r>
  <r>
    <n v="23"/>
    <x v="1"/>
    <x v="0"/>
    <n v="977"/>
    <x v="1"/>
    <n v="10"/>
    <n v="3"/>
    <x v="4"/>
    <n v="1"/>
    <n v="1592"/>
    <n v="4"/>
    <x v="1"/>
    <n v="45"/>
    <n v="4"/>
    <x v="1"/>
    <s v="Research Scientist"/>
    <n v="3"/>
    <s v="Married"/>
    <x v="97"/>
    <n v="12826"/>
    <n v="2"/>
    <s v="Y"/>
    <x v="1"/>
    <n v="16"/>
    <n v="3"/>
    <n v="4"/>
    <x v="0"/>
    <n v="1"/>
    <n v="4"/>
    <n v="2"/>
    <n v="3"/>
    <n v="2"/>
    <n v="2"/>
    <x v="3"/>
    <n v="2"/>
  </r>
  <r>
    <n v="36"/>
    <x v="1"/>
    <x v="1"/>
    <n v="1302"/>
    <x v="1"/>
    <n v="6"/>
    <n v="4"/>
    <x v="0"/>
    <n v="1"/>
    <n v="1594"/>
    <n v="1"/>
    <x v="1"/>
    <n v="80"/>
    <n v="4"/>
    <x v="0"/>
    <s v="Laboratory Technician"/>
    <n v="1"/>
    <s v="Married"/>
    <x v="622"/>
    <n v="19711"/>
    <n v="3"/>
    <s v="Y"/>
    <x v="0"/>
    <n v="13"/>
    <n v="3"/>
    <n v="4"/>
    <x v="0"/>
    <n v="1"/>
    <n v="9"/>
    <n v="3"/>
    <n v="3"/>
    <n v="3"/>
    <n v="2"/>
    <x v="0"/>
    <n v="2"/>
  </r>
  <r>
    <n v="42"/>
    <x v="1"/>
    <x v="0"/>
    <n v="1059"/>
    <x v="1"/>
    <n v="9"/>
    <n v="2"/>
    <x v="1"/>
    <n v="1"/>
    <n v="1595"/>
    <n v="4"/>
    <x v="1"/>
    <n v="93"/>
    <n v="2"/>
    <x v="4"/>
    <s v="Manager"/>
    <n v="4"/>
    <s v="Single"/>
    <x v="1050"/>
    <n v="26362"/>
    <n v="8"/>
    <s v="Y"/>
    <x v="1"/>
    <n v="22"/>
    <n v="4"/>
    <n v="4"/>
    <x v="0"/>
    <n v="0"/>
    <n v="24"/>
    <n v="2"/>
    <n v="3"/>
    <n v="1"/>
    <n v="0"/>
    <x v="0"/>
    <n v="1"/>
  </r>
  <r>
    <n v="35"/>
    <x v="1"/>
    <x v="0"/>
    <n v="750"/>
    <x v="1"/>
    <n v="28"/>
    <n v="3"/>
    <x v="0"/>
    <n v="1"/>
    <n v="1596"/>
    <n v="2"/>
    <x v="1"/>
    <n v="46"/>
    <n v="4"/>
    <x v="0"/>
    <s v="Laboratory Technician"/>
    <n v="3"/>
    <s v="Married"/>
    <x v="21"/>
    <n v="25348"/>
    <n v="1"/>
    <s v="Y"/>
    <x v="1"/>
    <n v="17"/>
    <n v="3"/>
    <n v="4"/>
    <x v="0"/>
    <n v="2"/>
    <n v="10"/>
    <n v="3"/>
    <n v="2"/>
    <n v="10"/>
    <n v="9"/>
    <x v="7"/>
    <n v="8"/>
  </r>
  <r>
    <n v="34"/>
    <x v="1"/>
    <x v="1"/>
    <n v="653"/>
    <x v="1"/>
    <n v="10"/>
    <n v="4"/>
    <x v="4"/>
    <n v="1"/>
    <n v="1597"/>
    <n v="4"/>
    <x v="1"/>
    <n v="92"/>
    <n v="2"/>
    <x v="0"/>
    <s v="Healthcare Representative"/>
    <n v="3"/>
    <s v="Married"/>
    <x v="1051"/>
    <n v="15332"/>
    <n v="1"/>
    <s v="Y"/>
    <x v="1"/>
    <n v="14"/>
    <n v="3"/>
    <n v="2"/>
    <x v="0"/>
    <n v="1"/>
    <n v="8"/>
    <n v="3"/>
    <n v="2"/>
    <n v="8"/>
    <n v="2"/>
    <x v="4"/>
    <n v="7"/>
  </r>
  <r>
    <n v="40"/>
    <x v="1"/>
    <x v="0"/>
    <n v="118"/>
    <x v="0"/>
    <n v="14"/>
    <n v="2"/>
    <x v="0"/>
    <n v="1"/>
    <n v="1598"/>
    <n v="4"/>
    <x v="0"/>
    <n v="84"/>
    <n v="3"/>
    <x v="0"/>
    <s v="Sales Executive"/>
    <n v="1"/>
    <s v="Married"/>
    <x v="912"/>
    <n v="11262"/>
    <n v="1"/>
    <s v="Y"/>
    <x v="1"/>
    <n v="15"/>
    <n v="3"/>
    <n v="3"/>
    <x v="0"/>
    <n v="1"/>
    <n v="5"/>
    <n v="2"/>
    <n v="3"/>
    <n v="5"/>
    <n v="4"/>
    <x v="1"/>
    <n v="2"/>
  </r>
  <r>
    <n v="43"/>
    <x v="1"/>
    <x v="0"/>
    <n v="990"/>
    <x v="1"/>
    <n v="27"/>
    <n v="3"/>
    <x v="4"/>
    <n v="1"/>
    <n v="1599"/>
    <n v="4"/>
    <x v="1"/>
    <n v="87"/>
    <n v="4"/>
    <x v="1"/>
    <s v="Laboratory Technician"/>
    <n v="2"/>
    <s v="Divorced"/>
    <x v="204"/>
    <n v="5855"/>
    <n v="5"/>
    <s v="Y"/>
    <x v="1"/>
    <n v="12"/>
    <n v="3"/>
    <n v="3"/>
    <x v="0"/>
    <n v="1"/>
    <n v="8"/>
    <n v="0"/>
    <n v="3"/>
    <n v="6"/>
    <n v="4"/>
    <x v="0"/>
    <n v="2"/>
  </r>
  <r>
    <n v="35"/>
    <x v="1"/>
    <x v="0"/>
    <n v="1349"/>
    <x v="1"/>
    <n v="7"/>
    <n v="2"/>
    <x v="0"/>
    <n v="1"/>
    <n v="1601"/>
    <n v="3"/>
    <x v="1"/>
    <n v="63"/>
    <n v="2"/>
    <x v="1"/>
    <s v="Laboratory Technician"/>
    <n v="4"/>
    <s v="Married"/>
    <x v="1052"/>
    <n v="7713"/>
    <n v="1"/>
    <s v="Y"/>
    <x v="1"/>
    <n v="18"/>
    <n v="3"/>
    <n v="4"/>
    <x v="0"/>
    <n v="1"/>
    <n v="1"/>
    <n v="5"/>
    <n v="2"/>
    <n v="1"/>
    <n v="0"/>
    <x v="0"/>
    <n v="1"/>
  </r>
  <r>
    <n v="46"/>
    <x v="1"/>
    <x v="0"/>
    <n v="563"/>
    <x v="0"/>
    <n v="1"/>
    <n v="4"/>
    <x v="0"/>
    <n v="1"/>
    <n v="1602"/>
    <n v="4"/>
    <x v="1"/>
    <n v="56"/>
    <n v="4"/>
    <x v="3"/>
    <s v="Manager"/>
    <n v="1"/>
    <s v="Single"/>
    <x v="1053"/>
    <n v="3156"/>
    <n v="1"/>
    <s v="Y"/>
    <x v="1"/>
    <n v="15"/>
    <n v="3"/>
    <n v="2"/>
    <x v="0"/>
    <n v="0"/>
    <n v="27"/>
    <n v="5"/>
    <n v="1"/>
    <n v="26"/>
    <n v="0"/>
    <x v="0"/>
    <n v="12"/>
  </r>
  <r>
    <n v="28"/>
    <x v="0"/>
    <x v="0"/>
    <n v="329"/>
    <x v="1"/>
    <n v="24"/>
    <n v="3"/>
    <x v="2"/>
    <n v="1"/>
    <n v="1604"/>
    <n v="3"/>
    <x v="1"/>
    <n v="51"/>
    <n v="3"/>
    <x v="1"/>
    <s v="Laboratory Technician"/>
    <n v="2"/>
    <s v="Married"/>
    <x v="1054"/>
    <n v="7324"/>
    <n v="1"/>
    <s v="Y"/>
    <x v="0"/>
    <n v="17"/>
    <n v="3"/>
    <n v="3"/>
    <x v="0"/>
    <n v="3"/>
    <n v="1"/>
    <n v="3"/>
    <n v="3"/>
    <n v="1"/>
    <n v="1"/>
    <x v="0"/>
    <n v="0"/>
  </r>
  <r>
    <n v="22"/>
    <x v="1"/>
    <x v="2"/>
    <n v="457"/>
    <x v="1"/>
    <n v="26"/>
    <n v="2"/>
    <x v="1"/>
    <n v="1"/>
    <n v="1605"/>
    <n v="2"/>
    <x v="0"/>
    <n v="85"/>
    <n v="2"/>
    <x v="1"/>
    <s v="Research Scientist"/>
    <n v="3"/>
    <s v="Married"/>
    <x v="1055"/>
    <n v="10293"/>
    <n v="1"/>
    <s v="Y"/>
    <x v="0"/>
    <n v="14"/>
    <n v="3"/>
    <n v="2"/>
    <x v="0"/>
    <n v="0"/>
    <n v="4"/>
    <n v="2"/>
    <n v="2"/>
    <n v="4"/>
    <n v="2"/>
    <x v="1"/>
    <n v="3"/>
  </r>
  <r>
    <n v="50"/>
    <x v="1"/>
    <x v="1"/>
    <n v="1234"/>
    <x v="1"/>
    <n v="20"/>
    <n v="5"/>
    <x v="2"/>
    <n v="1"/>
    <n v="1606"/>
    <n v="2"/>
    <x v="1"/>
    <n v="41"/>
    <n v="3"/>
    <x v="3"/>
    <s v="Healthcare Representative"/>
    <n v="3"/>
    <s v="Married"/>
    <x v="1056"/>
    <n v="20689"/>
    <n v="2"/>
    <s v="Y"/>
    <x v="0"/>
    <n v="15"/>
    <n v="3"/>
    <n v="3"/>
    <x v="0"/>
    <n v="1"/>
    <n v="32"/>
    <n v="3"/>
    <n v="3"/>
    <n v="30"/>
    <n v="8"/>
    <x v="12"/>
    <n v="13"/>
  </r>
  <r>
    <n v="32"/>
    <x v="1"/>
    <x v="0"/>
    <n v="634"/>
    <x v="1"/>
    <n v="5"/>
    <n v="4"/>
    <x v="1"/>
    <n v="1"/>
    <n v="1607"/>
    <n v="2"/>
    <x v="0"/>
    <n v="35"/>
    <n v="4"/>
    <x v="1"/>
    <s v="Research Scientist"/>
    <n v="4"/>
    <s v="Married"/>
    <x v="1057"/>
    <n v="18783"/>
    <n v="3"/>
    <s v="Y"/>
    <x v="1"/>
    <n v="17"/>
    <n v="3"/>
    <n v="4"/>
    <x v="0"/>
    <n v="2"/>
    <n v="6"/>
    <n v="3"/>
    <n v="3"/>
    <n v="3"/>
    <n v="2"/>
    <x v="0"/>
    <n v="2"/>
  </r>
  <r>
    <n v="44"/>
    <x v="1"/>
    <x v="0"/>
    <n v="1313"/>
    <x v="1"/>
    <n v="7"/>
    <n v="3"/>
    <x v="2"/>
    <n v="1"/>
    <n v="1608"/>
    <n v="2"/>
    <x v="0"/>
    <n v="31"/>
    <n v="3"/>
    <x v="4"/>
    <s v="Research Director"/>
    <n v="4"/>
    <s v="Divorced"/>
    <x v="1058"/>
    <n v="3549"/>
    <n v="0"/>
    <s v="Y"/>
    <x v="0"/>
    <n v="14"/>
    <n v="3"/>
    <n v="4"/>
    <x v="0"/>
    <n v="1"/>
    <n v="23"/>
    <n v="4"/>
    <n v="2"/>
    <n v="22"/>
    <n v="7"/>
    <x v="1"/>
    <n v="10"/>
  </r>
  <r>
    <n v="30"/>
    <x v="1"/>
    <x v="0"/>
    <n v="241"/>
    <x v="1"/>
    <n v="7"/>
    <n v="3"/>
    <x v="2"/>
    <n v="1"/>
    <n v="1609"/>
    <n v="2"/>
    <x v="1"/>
    <n v="48"/>
    <n v="2"/>
    <x v="1"/>
    <s v="Research Scientist"/>
    <n v="2"/>
    <s v="Married"/>
    <x v="1059"/>
    <n v="5348"/>
    <n v="1"/>
    <s v="Y"/>
    <x v="1"/>
    <n v="12"/>
    <n v="3"/>
    <n v="2"/>
    <x v="0"/>
    <n v="1"/>
    <n v="6"/>
    <n v="3"/>
    <n v="2"/>
    <n v="6"/>
    <n v="4"/>
    <x v="1"/>
    <n v="1"/>
  </r>
  <r>
    <n v="45"/>
    <x v="1"/>
    <x v="0"/>
    <n v="1015"/>
    <x v="1"/>
    <n v="5"/>
    <n v="5"/>
    <x v="2"/>
    <n v="1"/>
    <n v="1611"/>
    <n v="3"/>
    <x v="0"/>
    <n v="50"/>
    <n v="1"/>
    <x v="0"/>
    <s v="Laboratory Technician"/>
    <n v="1"/>
    <s v="Single"/>
    <x v="939"/>
    <n v="23447"/>
    <n v="1"/>
    <s v="Y"/>
    <x v="0"/>
    <n v="14"/>
    <n v="3"/>
    <n v="1"/>
    <x v="0"/>
    <n v="0"/>
    <n v="10"/>
    <n v="3"/>
    <n v="3"/>
    <n v="10"/>
    <n v="7"/>
    <x v="1"/>
    <n v="4"/>
  </r>
  <r>
    <n v="45"/>
    <x v="1"/>
    <x v="2"/>
    <n v="336"/>
    <x v="0"/>
    <n v="26"/>
    <n v="3"/>
    <x v="3"/>
    <n v="1"/>
    <n v="1612"/>
    <n v="1"/>
    <x v="1"/>
    <n v="52"/>
    <n v="2"/>
    <x v="0"/>
    <s v="Sales Executive"/>
    <n v="1"/>
    <s v="Married"/>
    <x v="1060"/>
    <n v="24162"/>
    <n v="1"/>
    <s v="Y"/>
    <x v="1"/>
    <n v="15"/>
    <n v="3"/>
    <n v="1"/>
    <x v="0"/>
    <n v="1"/>
    <n v="10"/>
    <n v="2"/>
    <n v="3"/>
    <n v="10"/>
    <n v="7"/>
    <x v="5"/>
    <n v="5"/>
  </r>
  <r>
    <n v="31"/>
    <x v="1"/>
    <x v="1"/>
    <n v="715"/>
    <x v="0"/>
    <n v="2"/>
    <n v="4"/>
    <x v="1"/>
    <n v="1"/>
    <n v="1613"/>
    <n v="4"/>
    <x v="1"/>
    <n v="54"/>
    <n v="3"/>
    <x v="0"/>
    <s v="Sales Executive"/>
    <n v="1"/>
    <s v="Single"/>
    <x v="1061"/>
    <n v="21602"/>
    <n v="7"/>
    <s v="Y"/>
    <x v="1"/>
    <n v="13"/>
    <n v="3"/>
    <n v="4"/>
    <x v="0"/>
    <n v="0"/>
    <n v="10"/>
    <n v="3"/>
    <n v="3"/>
    <n v="5"/>
    <n v="2"/>
    <x v="0"/>
    <n v="3"/>
  </r>
  <r>
    <n v="36"/>
    <x v="1"/>
    <x v="0"/>
    <n v="559"/>
    <x v="1"/>
    <n v="12"/>
    <n v="4"/>
    <x v="0"/>
    <n v="1"/>
    <n v="1614"/>
    <n v="3"/>
    <x v="0"/>
    <n v="76"/>
    <n v="3"/>
    <x v="0"/>
    <s v="Manufacturing Director"/>
    <n v="3"/>
    <s v="Married"/>
    <x v="1062"/>
    <n v="12421"/>
    <n v="9"/>
    <s v="Y"/>
    <x v="0"/>
    <n v="12"/>
    <n v="3"/>
    <n v="2"/>
    <x v="0"/>
    <n v="2"/>
    <n v="7"/>
    <n v="2"/>
    <n v="3"/>
    <n v="3"/>
    <n v="2"/>
    <x v="1"/>
    <n v="1"/>
  </r>
  <r>
    <n v="34"/>
    <x v="1"/>
    <x v="1"/>
    <n v="426"/>
    <x v="1"/>
    <n v="10"/>
    <n v="4"/>
    <x v="0"/>
    <n v="1"/>
    <n v="1615"/>
    <n v="3"/>
    <x v="1"/>
    <n v="42"/>
    <n v="4"/>
    <x v="0"/>
    <s v="Manufacturing Director"/>
    <n v="4"/>
    <s v="Divorced"/>
    <x v="927"/>
    <n v="17000"/>
    <n v="1"/>
    <s v="Y"/>
    <x v="1"/>
    <n v="13"/>
    <n v="3"/>
    <n v="1"/>
    <x v="0"/>
    <n v="1"/>
    <n v="9"/>
    <n v="3"/>
    <n v="3"/>
    <n v="9"/>
    <n v="7"/>
    <x v="4"/>
    <n v="2"/>
  </r>
  <r>
    <n v="49"/>
    <x v="1"/>
    <x v="0"/>
    <n v="722"/>
    <x v="1"/>
    <n v="25"/>
    <n v="4"/>
    <x v="0"/>
    <n v="1"/>
    <n v="1617"/>
    <n v="3"/>
    <x v="0"/>
    <n v="84"/>
    <n v="3"/>
    <x v="1"/>
    <s v="Laboratory Technician"/>
    <n v="1"/>
    <s v="Married"/>
    <x v="1063"/>
    <n v="22102"/>
    <n v="1"/>
    <s v="Y"/>
    <x v="1"/>
    <n v="14"/>
    <n v="3"/>
    <n v="4"/>
    <x v="0"/>
    <n v="1"/>
    <n v="10"/>
    <n v="3"/>
    <n v="2"/>
    <n v="9"/>
    <n v="6"/>
    <x v="1"/>
    <n v="4"/>
  </r>
  <r>
    <n v="39"/>
    <x v="1"/>
    <x v="0"/>
    <n v="1387"/>
    <x v="1"/>
    <n v="10"/>
    <n v="5"/>
    <x v="2"/>
    <n v="1"/>
    <n v="1618"/>
    <n v="2"/>
    <x v="1"/>
    <n v="76"/>
    <n v="3"/>
    <x v="0"/>
    <s v="Manufacturing Director"/>
    <n v="1"/>
    <s v="Married"/>
    <x v="1064"/>
    <n v="3835"/>
    <n v="2"/>
    <s v="Y"/>
    <x v="1"/>
    <n v="13"/>
    <n v="3"/>
    <n v="4"/>
    <x v="0"/>
    <n v="3"/>
    <n v="10"/>
    <n v="3"/>
    <n v="3"/>
    <n v="7"/>
    <n v="7"/>
    <x v="4"/>
    <n v="7"/>
  </r>
  <r>
    <n v="27"/>
    <x v="1"/>
    <x v="0"/>
    <n v="1302"/>
    <x v="1"/>
    <n v="19"/>
    <n v="3"/>
    <x v="1"/>
    <n v="1"/>
    <n v="1619"/>
    <n v="4"/>
    <x v="1"/>
    <n v="67"/>
    <n v="2"/>
    <x v="1"/>
    <s v="Laboratory Technician"/>
    <n v="1"/>
    <s v="Divorced"/>
    <x v="1065"/>
    <n v="16290"/>
    <n v="1"/>
    <s v="Y"/>
    <x v="1"/>
    <n v="11"/>
    <n v="3"/>
    <n v="1"/>
    <x v="0"/>
    <n v="2"/>
    <n v="7"/>
    <n v="3"/>
    <n v="3"/>
    <n v="7"/>
    <n v="7"/>
    <x v="0"/>
    <n v="7"/>
  </r>
  <r>
    <n v="35"/>
    <x v="1"/>
    <x v="0"/>
    <n v="819"/>
    <x v="1"/>
    <n v="18"/>
    <n v="5"/>
    <x v="0"/>
    <n v="1"/>
    <n v="1621"/>
    <n v="2"/>
    <x v="1"/>
    <n v="48"/>
    <n v="4"/>
    <x v="0"/>
    <s v="Research Scientist"/>
    <n v="1"/>
    <s v="Married"/>
    <x v="1066"/>
    <n v="26312"/>
    <n v="1"/>
    <s v="Y"/>
    <x v="1"/>
    <n v="11"/>
    <n v="3"/>
    <n v="4"/>
    <x v="0"/>
    <n v="0"/>
    <n v="16"/>
    <n v="2"/>
    <n v="3"/>
    <n v="16"/>
    <n v="15"/>
    <x v="1"/>
    <n v="10"/>
  </r>
  <r>
    <n v="28"/>
    <x v="1"/>
    <x v="0"/>
    <n v="580"/>
    <x v="1"/>
    <n v="27"/>
    <n v="3"/>
    <x v="2"/>
    <n v="1"/>
    <n v="1622"/>
    <n v="2"/>
    <x v="0"/>
    <n v="39"/>
    <n v="1"/>
    <x v="0"/>
    <s v="Manufacturing Director"/>
    <n v="1"/>
    <s v="Divorced"/>
    <x v="1067"/>
    <n v="20460"/>
    <n v="0"/>
    <s v="Y"/>
    <x v="1"/>
    <n v="21"/>
    <n v="4"/>
    <n v="2"/>
    <x v="0"/>
    <n v="1"/>
    <n v="6"/>
    <n v="5"/>
    <n v="2"/>
    <n v="5"/>
    <n v="3"/>
    <x v="0"/>
    <n v="0"/>
  </r>
  <r>
    <n v="21"/>
    <x v="1"/>
    <x v="0"/>
    <n v="546"/>
    <x v="1"/>
    <n v="5"/>
    <n v="1"/>
    <x v="2"/>
    <n v="1"/>
    <n v="1623"/>
    <n v="3"/>
    <x v="1"/>
    <n v="97"/>
    <n v="3"/>
    <x v="1"/>
    <s v="Research Scientist"/>
    <n v="4"/>
    <s v="Single"/>
    <x v="1068"/>
    <n v="26009"/>
    <n v="1"/>
    <s v="Y"/>
    <x v="1"/>
    <n v="18"/>
    <n v="3"/>
    <n v="3"/>
    <x v="0"/>
    <n v="0"/>
    <n v="3"/>
    <n v="2"/>
    <n v="3"/>
    <n v="2"/>
    <n v="2"/>
    <x v="3"/>
    <n v="2"/>
  </r>
  <r>
    <n v="18"/>
    <x v="0"/>
    <x v="1"/>
    <n v="544"/>
    <x v="0"/>
    <n v="3"/>
    <n v="2"/>
    <x v="2"/>
    <n v="1"/>
    <n v="1624"/>
    <n v="2"/>
    <x v="0"/>
    <n v="70"/>
    <n v="3"/>
    <x v="1"/>
    <s v="Sales Representative"/>
    <n v="4"/>
    <s v="Single"/>
    <x v="1069"/>
    <n v="18420"/>
    <n v="1"/>
    <s v="Y"/>
    <x v="0"/>
    <n v="12"/>
    <n v="3"/>
    <n v="3"/>
    <x v="0"/>
    <n v="0"/>
    <n v="0"/>
    <n v="2"/>
    <n v="4"/>
    <n v="0"/>
    <n v="0"/>
    <x v="0"/>
    <n v="0"/>
  </r>
  <r>
    <n v="47"/>
    <x v="1"/>
    <x v="0"/>
    <n v="1176"/>
    <x v="2"/>
    <n v="26"/>
    <n v="4"/>
    <x v="0"/>
    <n v="1"/>
    <n v="1625"/>
    <n v="4"/>
    <x v="0"/>
    <n v="98"/>
    <n v="3"/>
    <x v="4"/>
    <s v="Manager"/>
    <n v="3"/>
    <s v="Married"/>
    <x v="1070"/>
    <n v="5220"/>
    <n v="3"/>
    <s v="Y"/>
    <x v="1"/>
    <n v="11"/>
    <n v="3"/>
    <n v="3"/>
    <x v="0"/>
    <n v="1"/>
    <n v="27"/>
    <n v="2"/>
    <n v="3"/>
    <n v="5"/>
    <n v="2"/>
    <x v="1"/>
    <n v="0"/>
  </r>
  <r>
    <n v="39"/>
    <x v="1"/>
    <x v="0"/>
    <n v="170"/>
    <x v="1"/>
    <n v="3"/>
    <n v="2"/>
    <x v="2"/>
    <n v="1"/>
    <n v="1627"/>
    <n v="3"/>
    <x v="1"/>
    <n v="76"/>
    <n v="2"/>
    <x v="0"/>
    <s v="Laboratory Technician"/>
    <n v="3"/>
    <s v="Divorced"/>
    <x v="1071"/>
    <n v="10302"/>
    <n v="0"/>
    <s v="Y"/>
    <x v="1"/>
    <n v="15"/>
    <n v="3"/>
    <n v="4"/>
    <x v="0"/>
    <n v="1"/>
    <n v="11"/>
    <n v="3"/>
    <n v="3"/>
    <n v="10"/>
    <n v="8"/>
    <x v="0"/>
    <n v="7"/>
  </r>
  <r>
    <n v="40"/>
    <x v="1"/>
    <x v="0"/>
    <n v="884"/>
    <x v="1"/>
    <n v="15"/>
    <n v="3"/>
    <x v="0"/>
    <n v="1"/>
    <n v="1628"/>
    <n v="1"/>
    <x v="0"/>
    <n v="80"/>
    <n v="2"/>
    <x v="2"/>
    <s v="Manufacturing Director"/>
    <n v="3"/>
    <s v="Married"/>
    <x v="1072"/>
    <n v="25800"/>
    <n v="1"/>
    <s v="Y"/>
    <x v="1"/>
    <n v="13"/>
    <n v="3"/>
    <n v="4"/>
    <x v="0"/>
    <n v="2"/>
    <n v="18"/>
    <n v="2"/>
    <n v="3"/>
    <n v="18"/>
    <n v="15"/>
    <x v="15"/>
    <n v="12"/>
  </r>
  <r>
    <n v="35"/>
    <x v="1"/>
    <x v="2"/>
    <n v="208"/>
    <x v="1"/>
    <n v="8"/>
    <n v="4"/>
    <x v="0"/>
    <n v="1"/>
    <n v="1630"/>
    <n v="3"/>
    <x v="0"/>
    <n v="52"/>
    <n v="3"/>
    <x v="0"/>
    <s v="Healthcare Representative"/>
    <n v="3"/>
    <s v="Married"/>
    <x v="691"/>
    <n v="12250"/>
    <n v="1"/>
    <s v="Y"/>
    <x v="1"/>
    <n v="12"/>
    <n v="3"/>
    <n v="4"/>
    <x v="0"/>
    <n v="1"/>
    <n v="15"/>
    <n v="5"/>
    <n v="3"/>
    <n v="14"/>
    <n v="11"/>
    <x v="3"/>
    <n v="9"/>
  </r>
  <r>
    <n v="37"/>
    <x v="1"/>
    <x v="0"/>
    <n v="671"/>
    <x v="1"/>
    <n v="19"/>
    <n v="3"/>
    <x v="0"/>
    <n v="1"/>
    <n v="1631"/>
    <n v="3"/>
    <x v="1"/>
    <n v="85"/>
    <n v="3"/>
    <x v="0"/>
    <s v="Manufacturing Director"/>
    <n v="3"/>
    <s v="Married"/>
    <x v="1073"/>
    <n v="26493"/>
    <n v="3"/>
    <s v="Y"/>
    <x v="1"/>
    <n v="17"/>
    <n v="3"/>
    <n v="1"/>
    <x v="0"/>
    <n v="3"/>
    <n v="9"/>
    <n v="2"/>
    <n v="2"/>
    <n v="4"/>
    <n v="3"/>
    <x v="0"/>
    <n v="2"/>
  </r>
  <r>
    <n v="39"/>
    <x v="1"/>
    <x v="1"/>
    <n v="711"/>
    <x v="1"/>
    <n v="4"/>
    <n v="3"/>
    <x v="2"/>
    <n v="1"/>
    <n v="1633"/>
    <n v="1"/>
    <x v="0"/>
    <n v="81"/>
    <n v="3"/>
    <x v="0"/>
    <s v="Manufacturing Director"/>
    <n v="3"/>
    <s v="Single"/>
    <x v="1074"/>
    <n v="3140"/>
    <n v="0"/>
    <s v="Y"/>
    <x v="1"/>
    <n v="13"/>
    <n v="3"/>
    <n v="4"/>
    <x v="0"/>
    <n v="0"/>
    <n v="10"/>
    <n v="2"/>
    <n v="1"/>
    <n v="9"/>
    <n v="2"/>
    <x v="2"/>
    <n v="8"/>
  </r>
  <r>
    <n v="45"/>
    <x v="1"/>
    <x v="0"/>
    <n v="1329"/>
    <x v="1"/>
    <n v="2"/>
    <n v="2"/>
    <x v="1"/>
    <n v="1"/>
    <n v="1635"/>
    <n v="4"/>
    <x v="0"/>
    <n v="59"/>
    <n v="2"/>
    <x v="0"/>
    <s v="Manufacturing Director"/>
    <n v="4"/>
    <s v="Divorced"/>
    <x v="1075"/>
    <n v="5388"/>
    <n v="1"/>
    <s v="Y"/>
    <x v="1"/>
    <n v="19"/>
    <n v="3"/>
    <n v="1"/>
    <x v="0"/>
    <n v="2"/>
    <n v="10"/>
    <n v="3"/>
    <n v="3"/>
    <n v="10"/>
    <n v="7"/>
    <x v="2"/>
    <n v="9"/>
  </r>
  <r>
    <n v="38"/>
    <x v="1"/>
    <x v="0"/>
    <n v="397"/>
    <x v="1"/>
    <n v="2"/>
    <n v="2"/>
    <x v="2"/>
    <n v="1"/>
    <n v="1638"/>
    <n v="4"/>
    <x v="0"/>
    <n v="54"/>
    <n v="2"/>
    <x v="2"/>
    <s v="Manufacturing Director"/>
    <n v="3"/>
    <s v="Married"/>
    <x v="751"/>
    <n v="14199"/>
    <n v="3"/>
    <s v="Y"/>
    <x v="0"/>
    <n v="19"/>
    <n v="3"/>
    <n v="4"/>
    <x v="0"/>
    <n v="1"/>
    <n v="10"/>
    <n v="6"/>
    <n v="4"/>
    <n v="5"/>
    <n v="4"/>
    <x v="0"/>
    <n v="2"/>
  </r>
  <r>
    <n v="35"/>
    <x v="0"/>
    <x v="0"/>
    <n v="737"/>
    <x v="0"/>
    <n v="10"/>
    <n v="3"/>
    <x v="2"/>
    <n v="1"/>
    <n v="1639"/>
    <n v="4"/>
    <x v="1"/>
    <n v="55"/>
    <n v="2"/>
    <x v="2"/>
    <s v="Sales Executive"/>
    <n v="1"/>
    <s v="Married"/>
    <x v="1076"/>
    <n v="21530"/>
    <n v="9"/>
    <s v="Y"/>
    <x v="1"/>
    <n v="17"/>
    <n v="3"/>
    <n v="3"/>
    <x v="0"/>
    <n v="0"/>
    <n v="15"/>
    <n v="3"/>
    <n v="3"/>
    <n v="13"/>
    <n v="12"/>
    <x v="7"/>
    <n v="0"/>
  </r>
  <r>
    <n v="37"/>
    <x v="1"/>
    <x v="0"/>
    <n v="1470"/>
    <x v="1"/>
    <n v="10"/>
    <n v="3"/>
    <x v="2"/>
    <n v="1"/>
    <n v="1640"/>
    <n v="2"/>
    <x v="0"/>
    <n v="71"/>
    <n v="3"/>
    <x v="1"/>
    <s v="Research Scientist"/>
    <n v="2"/>
    <s v="Married"/>
    <x v="1077"/>
    <n v="9953"/>
    <n v="1"/>
    <s v="Y"/>
    <x v="1"/>
    <n v="11"/>
    <n v="3"/>
    <n v="1"/>
    <x v="0"/>
    <n v="1"/>
    <n v="8"/>
    <n v="2"/>
    <n v="1"/>
    <n v="8"/>
    <n v="4"/>
    <x v="4"/>
    <n v="7"/>
  </r>
  <r>
    <n v="40"/>
    <x v="1"/>
    <x v="0"/>
    <n v="448"/>
    <x v="1"/>
    <n v="16"/>
    <n v="3"/>
    <x v="0"/>
    <n v="1"/>
    <n v="1641"/>
    <n v="3"/>
    <x v="0"/>
    <n v="84"/>
    <n v="3"/>
    <x v="2"/>
    <s v="Manufacturing Director"/>
    <n v="4"/>
    <s v="Single"/>
    <x v="1078"/>
    <n v="19948"/>
    <n v="6"/>
    <s v="Y"/>
    <x v="0"/>
    <n v="15"/>
    <n v="3"/>
    <n v="4"/>
    <x v="0"/>
    <n v="0"/>
    <n v="18"/>
    <n v="2"/>
    <n v="2"/>
    <n v="4"/>
    <n v="2"/>
    <x v="2"/>
    <n v="3"/>
  </r>
  <r>
    <n v="44"/>
    <x v="1"/>
    <x v="1"/>
    <n v="602"/>
    <x v="2"/>
    <n v="1"/>
    <n v="5"/>
    <x v="5"/>
    <n v="1"/>
    <n v="1642"/>
    <n v="1"/>
    <x v="1"/>
    <n v="37"/>
    <n v="3"/>
    <x v="0"/>
    <s v="Human Resources"/>
    <n v="4"/>
    <s v="Married"/>
    <x v="1079"/>
    <n v="10503"/>
    <n v="4"/>
    <s v="Y"/>
    <x v="0"/>
    <n v="11"/>
    <n v="3"/>
    <n v="3"/>
    <x v="0"/>
    <n v="0"/>
    <n v="14"/>
    <n v="3"/>
    <n v="3"/>
    <n v="10"/>
    <n v="7"/>
    <x v="0"/>
    <n v="2"/>
  </r>
  <r>
    <n v="48"/>
    <x v="1"/>
    <x v="1"/>
    <n v="365"/>
    <x v="1"/>
    <n v="4"/>
    <n v="5"/>
    <x v="2"/>
    <n v="1"/>
    <n v="1644"/>
    <n v="3"/>
    <x v="1"/>
    <n v="89"/>
    <n v="2"/>
    <x v="3"/>
    <s v="Manager"/>
    <n v="4"/>
    <s v="Married"/>
    <x v="1080"/>
    <n v="5602"/>
    <n v="2"/>
    <s v="Y"/>
    <x v="1"/>
    <n v="25"/>
    <n v="4"/>
    <n v="2"/>
    <x v="0"/>
    <n v="1"/>
    <n v="23"/>
    <n v="3"/>
    <n v="3"/>
    <n v="2"/>
    <n v="2"/>
    <x v="3"/>
    <n v="2"/>
  </r>
  <r>
    <n v="35"/>
    <x v="0"/>
    <x v="0"/>
    <n v="763"/>
    <x v="0"/>
    <n v="15"/>
    <n v="2"/>
    <x v="2"/>
    <n v="1"/>
    <n v="1645"/>
    <n v="1"/>
    <x v="1"/>
    <n v="59"/>
    <n v="1"/>
    <x v="0"/>
    <s v="Sales Executive"/>
    <n v="4"/>
    <s v="Divorced"/>
    <x v="1081"/>
    <n v="22098"/>
    <n v="6"/>
    <s v="Y"/>
    <x v="0"/>
    <n v="14"/>
    <n v="3"/>
    <n v="4"/>
    <x v="0"/>
    <n v="2"/>
    <n v="7"/>
    <n v="2"/>
    <n v="2"/>
    <n v="2"/>
    <n v="2"/>
    <x v="3"/>
    <n v="2"/>
  </r>
  <r>
    <n v="24"/>
    <x v="1"/>
    <x v="1"/>
    <n v="567"/>
    <x v="1"/>
    <n v="2"/>
    <n v="1"/>
    <x v="4"/>
    <n v="1"/>
    <n v="1646"/>
    <n v="1"/>
    <x v="0"/>
    <n v="32"/>
    <n v="3"/>
    <x v="1"/>
    <s v="Research Scientist"/>
    <n v="4"/>
    <s v="Single"/>
    <x v="841"/>
    <n v="17218"/>
    <n v="1"/>
    <s v="Y"/>
    <x v="0"/>
    <n v="13"/>
    <n v="3"/>
    <n v="3"/>
    <x v="0"/>
    <n v="0"/>
    <n v="6"/>
    <n v="2"/>
    <n v="3"/>
    <n v="6"/>
    <n v="3"/>
    <x v="1"/>
    <n v="3"/>
  </r>
  <r>
    <n v="27"/>
    <x v="1"/>
    <x v="0"/>
    <n v="486"/>
    <x v="1"/>
    <n v="8"/>
    <n v="3"/>
    <x v="2"/>
    <n v="1"/>
    <n v="1647"/>
    <n v="2"/>
    <x v="0"/>
    <n v="86"/>
    <n v="4"/>
    <x v="1"/>
    <s v="Research Scientist"/>
    <n v="3"/>
    <s v="Married"/>
    <x v="1082"/>
    <n v="22490"/>
    <n v="7"/>
    <s v="Y"/>
    <x v="1"/>
    <n v="17"/>
    <n v="3"/>
    <n v="1"/>
    <x v="0"/>
    <n v="0"/>
    <n v="5"/>
    <n v="0"/>
    <n v="3"/>
    <n v="3"/>
    <n v="2"/>
    <x v="0"/>
    <n v="2"/>
  </r>
  <r>
    <n v="27"/>
    <x v="1"/>
    <x v="1"/>
    <n v="591"/>
    <x v="1"/>
    <n v="2"/>
    <n v="3"/>
    <x v="2"/>
    <n v="1"/>
    <n v="1648"/>
    <n v="4"/>
    <x v="1"/>
    <n v="87"/>
    <n v="3"/>
    <x v="1"/>
    <s v="Research Scientist"/>
    <n v="4"/>
    <s v="Single"/>
    <x v="1083"/>
    <n v="6297"/>
    <n v="2"/>
    <s v="Y"/>
    <x v="1"/>
    <n v="13"/>
    <n v="3"/>
    <n v="3"/>
    <x v="0"/>
    <n v="0"/>
    <n v="6"/>
    <n v="0"/>
    <n v="2"/>
    <n v="4"/>
    <n v="2"/>
    <x v="1"/>
    <n v="2"/>
  </r>
  <r>
    <n v="40"/>
    <x v="0"/>
    <x v="0"/>
    <n v="1329"/>
    <x v="1"/>
    <n v="7"/>
    <n v="3"/>
    <x v="0"/>
    <n v="1"/>
    <n v="1649"/>
    <n v="1"/>
    <x v="1"/>
    <n v="73"/>
    <n v="3"/>
    <x v="1"/>
    <s v="Laboratory Technician"/>
    <n v="1"/>
    <s v="Single"/>
    <x v="1084"/>
    <n v="3339"/>
    <n v="3"/>
    <s v="Y"/>
    <x v="0"/>
    <n v="14"/>
    <n v="3"/>
    <n v="2"/>
    <x v="0"/>
    <n v="0"/>
    <n v="10"/>
    <n v="3"/>
    <n v="1"/>
    <n v="4"/>
    <n v="2"/>
    <x v="0"/>
    <n v="3"/>
  </r>
  <r>
    <n v="29"/>
    <x v="1"/>
    <x v="0"/>
    <n v="469"/>
    <x v="0"/>
    <n v="10"/>
    <n v="3"/>
    <x v="2"/>
    <n v="1"/>
    <n v="1650"/>
    <n v="3"/>
    <x v="1"/>
    <n v="42"/>
    <n v="2"/>
    <x v="0"/>
    <s v="Sales Executive"/>
    <n v="3"/>
    <s v="Single"/>
    <x v="1085"/>
    <n v="23413"/>
    <n v="9"/>
    <s v="Y"/>
    <x v="1"/>
    <n v="11"/>
    <n v="3"/>
    <n v="3"/>
    <x v="0"/>
    <n v="0"/>
    <n v="8"/>
    <n v="2"/>
    <n v="3"/>
    <n v="5"/>
    <n v="2"/>
    <x v="1"/>
    <n v="4"/>
  </r>
  <r>
    <n v="36"/>
    <x v="1"/>
    <x v="0"/>
    <n v="711"/>
    <x v="1"/>
    <n v="5"/>
    <n v="4"/>
    <x v="0"/>
    <n v="1"/>
    <n v="1651"/>
    <n v="2"/>
    <x v="0"/>
    <n v="42"/>
    <n v="3"/>
    <x v="2"/>
    <s v="Healthcare Representative"/>
    <n v="1"/>
    <s v="Married"/>
    <x v="1086"/>
    <n v="22792"/>
    <n v="4"/>
    <s v="Y"/>
    <x v="1"/>
    <n v="12"/>
    <n v="3"/>
    <n v="3"/>
    <x v="0"/>
    <n v="2"/>
    <n v="9"/>
    <n v="6"/>
    <n v="3"/>
    <n v="3"/>
    <n v="2"/>
    <x v="0"/>
    <n v="2"/>
  </r>
  <r>
    <n v="25"/>
    <x v="1"/>
    <x v="1"/>
    <n v="772"/>
    <x v="1"/>
    <n v="2"/>
    <n v="1"/>
    <x v="0"/>
    <n v="1"/>
    <n v="1653"/>
    <n v="4"/>
    <x v="1"/>
    <n v="77"/>
    <n v="4"/>
    <x v="0"/>
    <s v="Manufacturing Director"/>
    <n v="3"/>
    <s v="Divorced"/>
    <x v="1087"/>
    <n v="4973"/>
    <n v="1"/>
    <s v="Y"/>
    <x v="1"/>
    <n v="17"/>
    <n v="3"/>
    <n v="3"/>
    <x v="0"/>
    <n v="2"/>
    <n v="7"/>
    <n v="6"/>
    <n v="3"/>
    <n v="7"/>
    <n v="7"/>
    <x v="0"/>
    <n v="7"/>
  </r>
  <r>
    <n v="39"/>
    <x v="1"/>
    <x v="0"/>
    <n v="492"/>
    <x v="1"/>
    <n v="12"/>
    <n v="3"/>
    <x v="2"/>
    <n v="1"/>
    <n v="1654"/>
    <n v="4"/>
    <x v="1"/>
    <n v="66"/>
    <n v="3"/>
    <x v="0"/>
    <s v="Manufacturing Director"/>
    <n v="2"/>
    <s v="Married"/>
    <x v="1088"/>
    <n v="7693"/>
    <n v="4"/>
    <s v="Y"/>
    <x v="1"/>
    <n v="21"/>
    <n v="4"/>
    <n v="3"/>
    <x v="0"/>
    <n v="0"/>
    <n v="7"/>
    <n v="3"/>
    <n v="3"/>
    <n v="5"/>
    <n v="4"/>
    <x v="1"/>
    <n v="0"/>
  </r>
  <r>
    <n v="49"/>
    <x v="1"/>
    <x v="0"/>
    <n v="301"/>
    <x v="1"/>
    <n v="22"/>
    <n v="4"/>
    <x v="1"/>
    <n v="1"/>
    <n v="1655"/>
    <n v="1"/>
    <x v="0"/>
    <n v="72"/>
    <n v="3"/>
    <x v="3"/>
    <s v="Research Director"/>
    <n v="2"/>
    <s v="Married"/>
    <x v="1089"/>
    <n v="3498"/>
    <n v="3"/>
    <s v="Y"/>
    <x v="1"/>
    <n v="16"/>
    <n v="3"/>
    <n v="2"/>
    <x v="0"/>
    <n v="2"/>
    <n v="27"/>
    <n v="2"/>
    <n v="3"/>
    <n v="4"/>
    <n v="2"/>
    <x v="1"/>
    <n v="2"/>
  </r>
  <r>
    <n v="50"/>
    <x v="1"/>
    <x v="0"/>
    <n v="813"/>
    <x v="1"/>
    <n v="17"/>
    <n v="5"/>
    <x v="0"/>
    <n v="1"/>
    <n v="1656"/>
    <n v="4"/>
    <x v="0"/>
    <n v="50"/>
    <n v="2"/>
    <x v="2"/>
    <s v="Research Director"/>
    <n v="1"/>
    <s v="Divorced"/>
    <x v="1090"/>
    <n v="21981"/>
    <n v="5"/>
    <s v="Y"/>
    <x v="1"/>
    <n v="15"/>
    <n v="3"/>
    <n v="3"/>
    <x v="0"/>
    <n v="3"/>
    <n v="19"/>
    <n v="3"/>
    <n v="3"/>
    <n v="14"/>
    <n v="11"/>
    <x v="1"/>
    <n v="11"/>
  </r>
  <r>
    <n v="20"/>
    <x v="1"/>
    <x v="0"/>
    <n v="1141"/>
    <x v="0"/>
    <n v="2"/>
    <n v="3"/>
    <x v="2"/>
    <n v="1"/>
    <n v="1657"/>
    <n v="3"/>
    <x v="0"/>
    <n v="31"/>
    <n v="3"/>
    <x v="1"/>
    <s v="Sales Representative"/>
    <n v="3"/>
    <s v="Single"/>
    <x v="1091"/>
    <n v="13251"/>
    <n v="1"/>
    <s v="Y"/>
    <x v="1"/>
    <n v="19"/>
    <n v="3"/>
    <n v="1"/>
    <x v="0"/>
    <n v="0"/>
    <n v="2"/>
    <n v="3"/>
    <n v="3"/>
    <n v="2"/>
    <n v="2"/>
    <x v="3"/>
    <n v="2"/>
  </r>
  <r>
    <n v="34"/>
    <x v="1"/>
    <x v="0"/>
    <n v="1130"/>
    <x v="1"/>
    <n v="3"/>
    <n v="3"/>
    <x v="0"/>
    <n v="1"/>
    <n v="1658"/>
    <n v="4"/>
    <x v="0"/>
    <n v="66"/>
    <n v="3"/>
    <x v="0"/>
    <s v="Research Scientist"/>
    <n v="2"/>
    <s v="Divorced"/>
    <x v="1092"/>
    <n v="19332"/>
    <n v="1"/>
    <s v="Y"/>
    <x v="1"/>
    <n v="12"/>
    <n v="3"/>
    <n v="3"/>
    <x v="0"/>
    <n v="1"/>
    <n v="11"/>
    <n v="2"/>
    <n v="3"/>
    <n v="11"/>
    <n v="8"/>
    <x v="4"/>
    <n v="9"/>
  </r>
  <r>
    <n v="36"/>
    <x v="1"/>
    <x v="0"/>
    <n v="311"/>
    <x v="1"/>
    <n v="7"/>
    <n v="3"/>
    <x v="0"/>
    <n v="1"/>
    <n v="1659"/>
    <n v="1"/>
    <x v="1"/>
    <n v="77"/>
    <n v="3"/>
    <x v="1"/>
    <s v="Laboratory Technician"/>
    <n v="2"/>
    <s v="Single"/>
    <x v="1093"/>
    <n v="10950"/>
    <n v="2"/>
    <s v="Y"/>
    <x v="1"/>
    <n v="11"/>
    <n v="3"/>
    <n v="3"/>
    <x v="0"/>
    <n v="0"/>
    <n v="15"/>
    <n v="4"/>
    <n v="3"/>
    <n v="4"/>
    <n v="3"/>
    <x v="1"/>
    <n v="3"/>
  </r>
  <r>
    <n v="49"/>
    <x v="1"/>
    <x v="0"/>
    <n v="465"/>
    <x v="1"/>
    <n v="6"/>
    <n v="1"/>
    <x v="0"/>
    <n v="1"/>
    <n v="1661"/>
    <n v="3"/>
    <x v="0"/>
    <n v="41"/>
    <n v="2"/>
    <x v="3"/>
    <s v="Healthcare Representative"/>
    <n v="3"/>
    <s v="Married"/>
    <x v="1094"/>
    <n v="11652"/>
    <n v="2"/>
    <s v="Y"/>
    <x v="0"/>
    <n v="19"/>
    <n v="3"/>
    <n v="2"/>
    <x v="0"/>
    <n v="1"/>
    <n v="30"/>
    <n v="3"/>
    <n v="3"/>
    <n v="15"/>
    <n v="11"/>
    <x v="3"/>
    <n v="12"/>
  </r>
  <r>
    <n v="36"/>
    <x v="1"/>
    <x v="2"/>
    <n v="894"/>
    <x v="1"/>
    <n v="1"/>
    <n v="4"/>
    <x v="2"/>
    <n v="1"/>
    <n v="1662"/>
    <n v="4"/>
    <x v="0"/>
    <n v="33"/>
    <n v="2"/>
    <x v="0"/>
    <s v="Manufacturing Director"/>
    <n v="3"/>
    <s v="Married"/>
    <x v="1095"/>
    <n v="15411"/>
    <n v="0"/>
    <s v="Y"/>
    <x v="1"/>
    <n v="15"/>
    <n v="3"/>
    <n v="3"/>
    <x v="0"/>
    <n v="0"/>
    <n v="4"/>
    <n v="6"/>
    <n v="3"/>
    <n v="3"/>
    <n v="2"/>
    <x v="1"/>
    <n v="2"/>
  </r>
  <r>
    <n v="36"/>
    <x v="1"/>
    <x v="0"/>
    <n v="1040"/>
    <x v="1"/>
    <n v="3"/>
    <n v="2"/>
    <x v="0"/>
    <n v="1"/>
    <n v="1664"/>
    <n v="4"/>
    <x v="1"/>
    <n v="79"/>
    <n v="4"/>
    <x v="0"/>
    <s v="Healthcare Representative"/>
    <n v="1"/>
    <s v="Divorced"/>
    <x v="1096"/>
    <n v="26308"/>
    <n v="6"/>
    <s v="Y"/>
    <x v="1"/>
    <n v="20"/>
    <n v="4"/>
    <n v="1"/>
    <x v="0"/>
    <n v="1"/>
    <n v="13"/>
    <n v="3"/>
    <n v="3"/>
    <n v="5"/>
    <n v="4"/>
    <x v="0"/>
    <n v="4"/>
  </r>
  <r>
    <n v="54"/>
    <x v="1"/>
    <x v="0"/>
    <n v="584"/>
    <x v="1"/>
    <n v="22"/>
    <n v="5"/>
    <x v="2"/>
    <n v="1"/>
    <n v="1665"/>
    <n v="2"/>
    <x v="0"/>
    <n v="91"/>
    <n v="3"/>
    <x v="3"/>
    <s v="Manager"/>
    <n v="3"/>
    <s v="Married"/>
    <x v="1097"/>
    <n v="18685"/>
    <n v="3"/>
    <s v="Y"/>
    <x v="1"/>
    <n v="25"/>
    <n v="4"/>
    <n v="3"/>
    <x v="0"/>
    <n v="1"/>
    <n v="36"/>
    <n v="6"/>
    <n v="3"/>
    <n v="10"/>
    <n v="8"/>
    <x v="5"/>
    <n v="7"/>
  </r>
  <r>
    <n v="43"/>
    <x v="1"/>
    <x v="0"/>
    <n v="1291"/>
    <x v="1"/>
    <n v="15"/>
    <n v="2"/>
    <x v="0"/>
    <n v="1"/>
    <n v="1666"/>
    <n v="3"/>
    <x v="1"/>
    <n v="65"/>
    <n v="2"/>
    <x v="3"/>
    <s v="Research Director"/>
    <n v="3"/>
    <s v="Married"/>
    <x v="1098"/>
    <n v="3525"/>
    <n v="1"/>
    <s v="Y"/>
    <x v="1"/>
    <n v="24"/>
    <n v="4"/>
    <n v="1"/>
    <x v="0"/>
    <n v="1"/>
    <n v="14"/>
    <n v="3"/>
    <n v="3"/>
    <n v="14"/>
    <n v="10"/>
    <x v="7"/>
    <n v="11"/>
  </r>
  <r>
    <n v="35"/>
    <x v="0"/>
    <x v="1"/>
    <n v="880"/>
    <x v="0"/>
    <n v="12"/>
    <n v="4"/>
    <x v="1"/>
    <n v="1"/>
    <n v="1667"/>
    <n v="4"/>
    <x v="1"/>
    <n v="36"/>
    <n v="3"/>
    <x v="0"/>
    <s v="Sales Executive"/>
    <n v="4"/>
    <s v="Single"/>
    <x v="1099"/>
    <n v="10414"/>
    <n v="3"/>
    <s v="Y"/>
    <x v="0"/>
    <n v="24"/>
    <n v="4"/>
    <n v="1"/>
    <x v="0"/>
    <n v="0"/>
    <n v="13"/>
    <n v="2"/>
    <n v="4"/>
    <n v="11"/>
    <n v="9"/>
    <x v="7"/>
    <n v="7"/>
  </r>
  <r>
    <n v="38"/>
    <x v="1"/>
    <x v="1"/>
    <n v="1189"/>
    <x v="1"/>
    <n v="1"/>
    <n v="3"/>
    <x v="0"/>
    <n v="1"/>
    <n v="1668"/>
    <n v="4"/>
    <x v="1"/>
    <n v="90"/>
    <n v="3"/>
    <x v="0"/>
    <s v="Research Scientist"/>
    <n v="4"/>
    <s v="Married"/>
    <x v="1100"/>
    <n v="9867"/>
    <n v="7"/>
    <s v="Y"/>
    <x v="1"/>
    <n v="15"/>
    <n v="3"/>
    <n v="4"/>
    <x v="0"/>
    <n v="2"/>
    <n v="19"/>
    <n v="4"/>
    <n v="4"/>
    <n v="13"/>
    <n v="11"/>
    <x v="3"/>
    <n v="9"/>
  </r>
  <r>
    <n v="29"/>
    <x v="1"/>
    <x v="0"/>
    <n v="991"/>
    <x v="0"/>
    <n v="5"/>
    <n v="3"/>
    <x v="2"/>
    <n v="1"/>
    <n v="1669"/>
    <n v="1"/>
    <x v="1"/>
    <n v="43"/>
    <n v="2"/>
    <x v="0"/>
    <s v="Sales Executive"/>
    <n v="2"/>
    <s v="Divorced"/>
    <x v="1101"/>
    <n v="3356"/>
    <n v="1"/>
    <s v="Y"/>
    <x v="0"/>
    <n v="13"/>
    <n v="3"/>
    <n v="2"/>
    <x v="0"/>
    <n v="1"/>
    <n v="10"/>
    <n v="3"/>
    <n v="2"/>
    <n v="10"/>
    <n v="0"/>
    <x v="0"/>
    <n v="9"/>
  </r>
  <r>
    <n v="33"/>
    <x v="1"/>
    <x v="0"/>
    <n v="392"/>
    <x v="0"/>
    <n v="2"/>
    <n v="4"/>
    <x v="2"/>
    <n v="1"/>
    <n v="1670"/>
    <n v="4"/>
    <x v="1"/>
    <n v="93"/>
    <n v="3"/>
    <x v="0"/>
    <s v="Sales Executive"/>
    <n v="4"/>
    <s v="Divorced"/>
    <x v="1102"/>
    <n v="3921"/>
    <n v="1"/>
    <s v="Y"/>
    <x v="1"/>
    <n v="14"/>
    <n v="3"/>
    <n v="3"/>
    <x v="0"/>
    <n v="2"/>
    <n v="6"/>
    <n v="5"/>
    <n v="3"/>
    <n v="6"/>
    <n v="2"/>
    <x v="0"/>
    <n v="4"/>
  </r>
  <r>
    <n v="32"/>
    <x v="1"/>
    <x v="0"/>
    <n v="977"/>
    <x v="1"/>
    <n v="2"/>
    <n v="3"/>
    <x v="2"/>
    <n v="1"/>
    <n v="1671"/>
    <n v="4"/>
    <x v="1"/>
    <n v="45"/>
    <n v="3"/>
    <x v="0"/>
    <s v="Research Scientist"/>
    <n v="2"/>
    <s v="Divorced"/>
    <x v="1103"/>
    <n v="25518"/>
    <n v="0"/>
    <s v="Y"/>
    <x v="1"/>
    <n v="13"/>
    <n v="3"/>
    <n v="3"/>
    <x v="0"/>
    <n v="2"/>
    <n v="10"/>
    <n v="4"/>
    <n v="2"/>
    <n v="9"/>
    <n v="5"/>
    <x v="1"/>
    <n v="6"/>
  </r>
  <r>
    <n v="31"/>
    <x v="1"/>
    <x v="0"/>
    <n v="1112"/>
    <x v="0"/>
    <n v="5"/>
    <n v="4"/>
    <x v="0"/>
    <n v="1"/>
    <n v="1673"/>
    <n v="1"/>
    <x v="0"/>
    <n v="67"/>
    <n v="3"/>
    <x v="0"/>
    <s v="Sales Executive"/>
    <n v="4"/>
    <s v="Married"/>
    <x v="1104"/>
    <n v="22589"/>
    <n v="1"/>
    <s v="Y"/>
    <x v="1"/>
    <n v="11"/>
    <n v="3"/>
    <n v="1"/>
    <x v="0"/>
    <n v="2"/>
    <n v="10"/>
    <n v="2"/>
    <n v="3"/>
    <n v="10"/>
    <n v="0"/>
    <x v="0"/>
    <n v="2"/>
  </r>
  <r>
    <n v="49"/>
    <x v="1"/>
    <x v="0"/>
    <n v="464"/>
    <x v="1"/>
    <n v="16"/>
    <n v="3"/>
    <x v="2"/>
    <n v="1"/>
    <n v="1674"/>
    <n v="4"/>
    <x v="0"/>
    <n v="74"/>
    <n v="3"/>
    <x v="1"/>
    <s v="Laboratory Technician"/>
    <n v="1"/>
    <s v="Divorced"/>
    <x v="1105"/>
    <n v="24941"/>
    <n v="4"/>
    <s v="Y"/>
    <x v="0"/>
    <n v="16"/>
    <n v="3"/>
    <n v="2"/>
    <x v="0"/>
    <n v="1"/>
    <n v="17"/>
    <n v="2"/>
    <n v="2"/>
    <n v="2"/>
    <n v="2"/>
    <x v="3"/>
    <n v="2"/>
  </r>
  <r>
    <n v="38"/>
    <x v="1"/>
    <x v="1"/>
    <n v="148"/>
    <x v="1"/>
    <n v="2"/>
    <n v="3"/>
    <x v="2"/>
    <n v="1"/>
    <n v="1675"/>
    <n v="4"/>
    <x v="0"/>
    <n v="42"/>
    <n v="2"/>
    <x v="1"/>
    <s v="Laboratory Technician"/>
    <n v="2"/>
    <s v="Single"/>
    <x v="1106"/>
    <n v="23826"/>
    <n v="1"/>
    <s v="Y"/>
    <x v="1"/>
    <n v="22"/>
    <n v="4"/>
    <n v="2"/>
    <x v="0"/>
    <n v="0"/>
    <n v="4"/>
    <n v="3"/>
    <n v="3"/>
    <n v="4"/>
    <n v="3"/>
    <x v="2"/>
    <n v="3"/>
  </r>
  <r>
    <n v="47"/>
    <x v="1"/>
    <x v="0"/>
    <n v="1225"/>
    <x v="0"/>
    <n v="2"/>
    <n v="4"/>
    <x v="0"/>
    <n v="1"/>
    <n v="1676"/>
    <n v="2"/>
    <x v="0"/>
    <n v="47"/>
    <n v="4"/>
    <x v="3"/>
    <s v="Manager"/>
    <n v="2"/>
    <s v="Divorced"/>
    <x v="1107"/>
    <n v="21086"/>
    <n v="6"/>
    <s v="Y"/>
    <x v="1"/>
    <n v="14"/>
    <n v="3"/>
    <n v="3"/>
    <x v="0"/>
    <n v="3"/>
    <n v="29"/>
    <n v="2"/>
    <n v="3"/>
    <n v="3"/>
    <n v="2"/>
    <x v="1"/>
    <n v="2"/>
  </r>
  <r>
    <n v="49"/>
    <x v="1"/>
    <x v="0"/>
    <n v="809"/>
    <x v="1"/>
    <n v="1"/>
    <n v="3"/>
    <x v="0"/>
    <n v="1"/>
    <n v="1677"/>
    <n v="3"/>
    <x v="1"/>
    <n v="36"/>
    <n v="3"/>
    <x v="3"/>
    <s v="Manager"/>
    <n v="3"/>
    <s v="Single"/>
    <x v="1108"/>
    <n v="22384"/>
    <n v="4"/>
    <s v="Y"/>
    <x v="1"/>
    <n v="14"/>
    <n v="3"/>
    <n v="1"/>
    <x v="0"/>
    <n v="0"/>
    <n v="23"/>
    <n v="2"/>
    <n v="3"/>
    <n v="8"/>
    <n v="7"/>
    <x v="0"/>
    <n v="0"/>
  </r>
  <r>
    <n v="41"/>
    <x v="1"/>
    <x v="0"/>
    <n v="1206"/>
    <x v="0"/>
    <n v="23"/>
    <n v="2"/>
    <x v="0"/>
    <n v="1"/>
    <n v="1678"/>
    <n v="4"/>
    <x v="1"/>
    <n v="80"/>
    <n v="3"/>
    <x v="2"/>
    <s v="Sales Executive"/>
    <n v="3"/>
    <s v="Single"/>
    <x v="1109"/>
    <n v="11591"/>
    <n v="3"/>
    <s v="Y"/>
    <x v="0"/>
    <n v="16"/>
    <n v="3"/>
    <n v="4"/>
    <x v="0"/>
    <n v="0"/>
    <n v="21"/>
    <n v="2"/>
    <n v="3"/>
    <n v="2"/>
    <n v="0"/>
    <x v="0"/>
    <n v="2"/>
  </r>
  <r>
    <n v="20"/>
    <x v="1"/>
    <x v="0"/>
    <n v="727"/>
    <x v="0"/>
    <n v="9"/>
    <n v="1"/>
    <x v="0"/>
    <n v="1"/>
    <n v="1680"/>
    <n v="4"/>
    <x v="1"/>
    <n v="54"/>
    <n v="3"/>
    <x v="1"/>
    <s v="Sales Representative"/>
    <n v="1"/>
    <s v="Single"/>
    <x v="1110"/>
    <n v="21082"/>
    <n v="1"/>
    <s v="Y"/>
    <x v="1"/>
    <n v="11"/>
    <n v="3"/>
    <n v="1"/>
    <x v="0"/>
    <n v="0"/>
    <n v="2"/>
    <n v="3"/>
    <n v="3"/>
    <n v="2"/>
    <n v="2"/>
    <x v="0"/>
    <n v="2"/>
  </r>
  <r>
    <n v="33"/>
    <x v="1"/>
    <x v="2"/>
    <n v="530"/>
    <x v="0"/>
    <n v="16"/>
    <n v="3"/>
    <x v="0"/>
    <n v="1"/>
    <n v="1681"/>
    <n v="3"/>
    <x v="0"/>
    <n v="36"/>
    <n v="3"/>
    <x v="0"/>
    <s v="Sales Executive"/>
    <n v="4"/>
    <s v="Divorced"/>
    <x v="1111"/>
    <n v="16130"/>
    <n v="1"/>
    <s v="Y"/>
    <x v="0"/>
    <n v="25"/>
    <n v="4"/>
    <n v="3"/>
    <x v="0"/>
    <n v="1"/>
    <n v="7"/>
    <n v="2"/>
    <n v="3"/>
    <n v="6"/>
    <n v="5"/>
    <x v="1"/>
    <n v="2"/>
  </r>
  <r>
    <n v="36"/>
    <x v="1"/>
    <x v="0"/>
    <n v="1351"/>
    <x v="1"/>
    <n v="26"/>
    <n v="4"/>
    <x v="0"/>
    <n v="1"/>
    <n v="1682"/>
    <n v="1"/>
    <x v="1"/>
    <n v="80"/>
    <n v="3"/>
    <x v="0"/>
    <s v="Healthcare Representative"/>
    <n v="3"/>
    <s v="Married"/>
    <x v="1112"/>
    <n v="7419"/>
    <n v="6"/>
    <s v="Y"/>
    <x v="1"/>
    <n v="14"/>
    <n v="3"/>
    <n v="2"/>
    <x v="0"/>
    <n v="2"/>
    <n v="10"/>
    <n v="2"/>
    <n v="2"/>
    <n v="3"/>
    <n v="2"/>
    <x v="0"/>
    <n v="2"/>
  </r>
  <r>
    <n v="44"/>
    <x v="1"/>
    <x v="0"/>
    <n v="528"/>
    <x v="2"/>
    <n v="1"/>
    <n v="3"/>
    <x v="0"/>
    <n v="1"/>
    <n v="1683"/>
    <n v="3"/>
    <x v="0"/>
    <n v="44"/>
    <n v="3"/>
    <x v="1"/>
    <s v="Human Resources"/>
    <n v="4"/>
    <s v="Divorced"/>
    <x v="1113"/>
    <n v="4167"/>
    <n v="4"/>
    <s v="Y"/>
    <x v="0"/>
    <n v="18"/>
    <n v="3"/>
    <n v="1"/>
    <x v="0"/>
    <n v="3"/>
    <n v="8"/>
    <n v="2"/>
    <n v="3"/>
    <n v="2"/>
    <n v="2"/>
    <x v="3"/>
    <n v="2"/>
  </r>
  <r>
    <n v="23"/>
    <x v="0"/>
    <x v="0"/>
    <n v="1320"/>
    <x v="1"/>
    <n v="8"/>
    <n v="1"/>
    <x v="2"/>
    <n v="1"/>
    <n v="1684"/>
    <n v="4"/>
    <x v="1"/>
    <n v="93"/>
    <n v="2"/>
    <x v="1"/>
    <s v="Laboratory Technician"/>
    <n v="3"/>
    <s v="Single"/>
    <x v="1114"/>
    <n v="20586"/>
    <n v="1"/>
    <s v="Y"/>
    <x v="0"/>
    <n v="11"/>
    <n v="3"/>
    <n v="1"/>
    <x v="0"/>
    <n v="0"/>
    <n v="5"/>
    <n v="2"/>
    <n v="3"/>
    <n v="5"/>
    <n v="4"/>
    <x v="1"/>
    <n v="2"/>
  </r>
  <r>
    <n v="38"/>
    <x v="1"/>
    <x v="0"/>
    <n v="1495"/>
    <x v="1"/>
    <n v="4"/>
    <n v="2"/>
    <x v="2"/>
    <n v="1"/>
    <n v="1687"/>
    <n v="4"/>
    <x v="0"/>
    <n v="87"/>
    <n v="3"/>
    <x v="1"/>
    <s v="Laboratory Technician"/>
    <n v="3"/>
    <s v="Married"/>
    <x v="1115"/>
    <n v="26176"/>
    <n v="7"/>
    <s v="Y"/>
    <x v="1"/>
    <n v="19"/>
    <n v="3"/>
    <n v="4"/>
    <x v="0"/>
    <n v="1"/>
    <n v="7"/>
    <n v="5"/>
    <n v="2"/>
    <n v="0"/>
    <n v="0"/>
    <x v="0"/>
    <n v="0"/>
  </r>
  <r>
    <n v="53"/>
    <x v="1"/>
    <x v="0"/>
    <n v="1395"/>
    <x v="1"/>
    <n v="24"/>
    <n v="4"/>
    <x v="2"/>
    <n v="1"/>
    <n v="1689"/>
    <n v="2"/>
    <x v="1"/>
    <n v="48"/>
    <n v="4"/>
    <x v="2"/>
    <s v="Healthcare Representative"/>
    <n v="4"/>
    <s v="Married"/>
    <x v="1116"/>
    <n v="3458"/>
    <n v="3"/>
    <s v="Y"/>
    <x v="1"/>
    <n v="15"/>
    <n v="3"/>
    <n v="3"/>
    <x v="0"/>
    <n v="0"/>
    <n v="11"/>
    <n v="2"/>
    <n v="3"/>
    <n v="4"/>
    <n v="3"/>
    <x v="1"/>
    <n v="2"/>
  </r>
  <r>
    <n v="48"/>
    <x v="0"/>
    <x v="1"/>
    <n v="708"/>
    <x v="0"/>
    <n v="7"/>
    <n v="2"/>
    <x v="2"/>
    <n v="1"/>
    <n v="1691"/>
    <n v="4"/>
    <x v="0"/>
    <n v="95"/>
    <n v="3"/>
    <x v="1"/>
    <s v="Sales Representative"/>
    <n v="3"/>
    <s v="Married"/>
    <x v="1117"/>
    <n v="11740"/>
    <n v="2"/>
    <s v="Y"/>
    <x v="0"/>
    <n v="11"/>
    <n v="3"/>
    <n v="3"/>
    <x v="0"/>
    <n v="2"/>
    <n v="19"/>
    <n v="3"/>
    <n v="3"/>
    <n v="9"/>
    <n v="7"/>
    <x v="4"/>
    <n v="7"/>
  </r>
  <r>
    <n v="32"/>
    <x v="0"/>
    <x v="0"/>
    <n v="1259"/>
    <x v="1"/>
    <n v="2"/>
    <n v="4"/>
    <x v="0"/>
    <n v="1"/>
    <n v="1692"/>
    <n v="4"/>
    <x v="1"/>
    <n v="95"/>
    <n v="3"/>
    <x v="1"/>
    <s v="Laboratory Technician"/>
    <n v="2"/>
    <s v="Single"/>
    <x v="1118"/>
    <n v="24852"/>
    <n v="1"/>
    <s v="Y"/>
    <x v="1"/>
    <n v="12"/>
    <n v="3"/>
    <n v="1"/>
    <x v="0"/>
    <n v="0"/>
    <n v="1"/>
    <n v="2"/>
    <n v="3"/>
    <n v="1"/>
    <n v="0"/>
    <x v="0"/>
    <n v="0"/>
  </r>
  <r>
    <n v="26"/>
    <x v="1"/>
    <x v="2"/>
    <n v="786"/>
    <x v="1"/>
    <n v="7"/>
    <n v="3"/>
    <x v="2"/>
    <n v="1"/>
    <n v="1693"/>
    <n v="4"/>
    <x v="1"/>
    <n v="76"/>
    <n v="3"/>
    <x v="1"/>
    <s v="Laboratory Technician"/>
    <n v="4"/>
    <s v="Single"/>
    <x v="1119"/>
    <n v="11925"/>
    <n v="1"/>
    <s v="Y"/>
    <x v="1"/>
    <n v="20"/>
    <n v="4"/>
    <n v="3"/>
    <x v="0"/>
    <n v="0"/>
    <n v="7"/>
    <n v="5"/>
    <n v="3"/>
    <n v="7"/>
    <n v="7"/>
    <x v="8"/>
    <n v="7"/>
  </r>
  <r>
    <n v="55"/>
    <x v="1"/>
    <x v="0"/>
    <n v="1441"/>
    <x v="1"/>
    <n v="22"/>
    <n v="3"/>
    <x v="4"/>
    <n v="1"/>
    <n v="1694"/>
    <n v="1"/>
    <x v="1"/>
    <n v="94"/>
    <n v="2"/>
    <x v="1"/>
    <s v="Research Scientist"/>
    <n v="2"/>
    <s v="Divorced"/>
    <x v="1120"/>
    <n v="23737"/>
    <n v="5"/>
    <s v="Y"/>
    <x v="1"/>
    <n v="12"/>
    <n v="3"/>
    <n v="4"/>
    <x v="0"/>
    <n v="1"/>
    <n v="8"/>
    <n v="1"/>
    <n v="3"/>
    <n v="4"/>
    <n v="2"/>
    <x v="1"/>
    <n v="2"/>
  </r>
  <r>
    <n v="34"/>
    <x v="1"/>
    <x v="0"/>
    <n v="1157"/>
    <x v="1"/>
    <n v="5"/>
    <n v="2"/>
    <x v="2"/>
    <n v="1"/>
    <n v="1696"/>
    <n v="2"/>
    <x v="1"/>
    <n v="57"/>
    <n v="2"/>
    <x v="0"/>
    <s v="Laboratory Technician"/>
    <n v="4"/>
    <s v="Married"/>
    <x v="1121"/>
    <n v="11912"/>
    <n v="1"/>
    <s v="Y"/>
    <x v="1"/>
    <n v="14"/>
    <n v="3"/>
    <n v="3"/>
    <x v="0"/>
    <n v="1"/>
    <n v="15"/>
    <n v="3"/>
    <n v="4"/>
    <n v="15"/>
    <n v="10"/>
    <x v="5"/>
    <n v="13"/>
  </r>
  <r>
    <n v="60"/>
    <x v="1"/>
    <x v="0"/>
    <n v="370"/>
    <x v="1"/>
    <n v="1"/>
    <n v="4"/>
    <x v="2"/>
    <n v="1"/>
    <n v="1697"/>
    <n v="3"/>
    <x v="1"/>
    <n v="92"/>
    <n v="1"/>
    <x v="2"/>
    <s v="Healthcare Representative"/>
    <n v="4"/>
    <s v="Divorced"/>
    <x v="1122"/>
    <n v="20467"/>
    <n v="3"/>
    <s v="Y"/>
    <x v="1"/>
    <n v="20"/>
    <n v="4"/>
    <n v="3"/>
    <x v="0"/>
    <n v="1"/>
    <n v="19"/>
    <n v="2"/>
    <n v="4"/>
    <n v="1"/>
    <n v="0"/>
    <x v="0"/>
    <n v="0"/>
  </r>
  <r>
    <n v="33"/>
    <x v="1"/>
    <x v="0"/>
    <n v="267"/>
    <x v="1"/>
    <n v="21"/>
    <n v="3"/>
    <x v="2"/>
    <n v="1"/>
    <n v="1698"/>
    <n v="2"/>
    <x v="1"/>
    <n v="79"/>
    <n v="4"/>
    <x v="1"/>
    <s v="Laboratory Technician"/>
    <n v="2"/>
    <s v="Married"/>
    <x v="14"/>
    <n v="13637"/>
    <n v="1"/>
    <s v="Y"/>
    <x v="1"/>
    <n v="18"/>
    <n v="3"/>
    <n v="4"/>
    <x v="0"/>
    <n v="3"/>
    <n v="14"/>
    <n v="6"/>
    <n v="3"/>
    <n v="14"/>
    <n v="11"/>
    <x v="3"/>
    <n v="13"/>
  </r>
  <r>
    <n v="37"/>
    <x v="1"/>
    <x v="1"/>
    <n v="1278"/>
    <x v="0"/>
    <n v="1"/>
    <n v="4"/>
    <x v="2"/>
    <n v="1"/>
    <n v="1700"/>
    <n v="3"/>
    <x v="1"/>
    <n v="31"/>
    <n v="1"/>
    <x v="0"/>
    <s v="Sales Executive"/>
    <n v="4"/>
    <s v="Divorced"/>
    <x v="1123"/>
    <n v="7677"/>
    <n v="1"/>
    <s v="Y"/>
    <x v="1"/>
    <n v="14"/>
    <n v="3"/>
    <n v="3"/>
    <x v="0"/>
    <n v="2"/>
    <n v="6"/>
    <n v="2"/>
    <n v="2"/>
    <n v="6"/>
    <n v="3"/>
    <x v="1"/>
    <n v="3"/>
  </r>
  <r>
    <n v="34"/>
    <x v="1"/>
    <x v="0"/>
    <n v="678"/>
    <x v="1"/>
    <n v="19"/>
    <n v="3"/>
    <x v="0"/>
    <n v="1"/>
    <n v="1701"/>
    <n v="2"/>
    <x v="0"/>
    <n v="35"/>
    <n v="2"/>
    <x v="1"/>
    <s v="Research Scientist"/>
    <n v="4"/>
    <s v="Married"/>
    <x v="1124"/>
    <n v="20338"/>
    <n v="1"/>
    <s v="Y"/>
    <x v="1"/>
    <n v="12"/>
    <n v="3"/>
    <n v="2"/>
    <x v="0"/>
    <n v="0"/>
    <n v="10"/>
    <n v="3"/>
    <n v="3"/>
    <n v="10"/>
    <n v="9"/>
    <x v="6"/>
    <n v="7"/>
  </r>
  <r>
    <n v="23"/>
    <x v="0"/>
    <x v="0"/>
    <n v="427"/>
    <x v="0"/>
    <n v="7"/>
    <n v="3"/>
    <x v="0"/>
    <n v="1"/>
    <n v="1702"/>
    <n v="3"/>
    <x v="1"/>
    <n v="99"/>
    <n v="3"/>
    <x v="1"/>
    <s v="Sales Representative"/>
    <n v="4"/>
    <s v="Divorced"/>
    <x v="1125"/>
    <n v="25103"/>
    <n v="1"/>
    <s v="Y"/>
    <x v="0"/>
    <n v="21"/>
    <n v="4"/>
    <n v="2"/>
    <x v="0"/>
    <n v="1"/>
    <n v="3"/>
    <n v="2"/>
    <n v="3"/>
    <n v="3"/>
    <n v="2"/>
    <x v="0"/>
    <n v="2"/>
  </r>
  <r>
    <n v="44"/>
    <x v="1"/>
    <x v="0"/>
    <n v="921"/>
    <x v="1"/>
    <n v="2"/>
    <n v="3"/>
    <x v="0"/>
    <n v="1"/>
    <n v="1703"/>
    <n v="3"/>
    <x v="0"/>
    <n v="96"/>
    <n v="4"/>
    <x v="2"/>
    <s v="Healthcare Representative"/>
    <n v="4"/>
    <s v="Married"/>
    <x v="1126"/>
    <n v="14810"/>
    <n v="1"/>
    <s v="Y"/>
    <x v="0"/>
    <n v="19"/>
    <n v="3"/>
    <n v="2"/>
    <x v="0"/>
    <n v="1"/>
    <n v="9"/>
    <n v="2"/>
    <n v="3"/>
    <n v="8"/>
    <n v="7"/>
    <x v="7"/>
    <n v="7"/>
  </r>
  <r>
    <n v="35"/>
    <x v="1"/>
    <x v="1"/>
    <n v="146"/>
    <x v="1"/>
    <n v="2"/>
    <n v="4"/>
    <x v="2"/>
    <n v="1"/>
    <n v="1704"/>
    <n v="1"/>
    <x v="1"/>
    <n v="79"/>
    <n v="2"/>
    <x v="1"/>
    <s v="Research Scientist"/>
    <n v="4"/>
    <s v="Single"/>
    <x v="1127"/>
    <n v="13970"/>
    <n v="0"/>
    <s v="Y"/>
    <x v="0"/>
    <n v="14"/>
    <n v="3"/>
    <n v="3"/>
    <x v="0"/>
    <n v="0"/>
    <n v="6"/>
    <n v="2"/>
    <n v="4"/>
    <n v="5"/>
    <n v="4"/>
    <x v="1"/>
    <n v="4"/>
  </r>
  <r>
    <n v="43"/>
    <x v="1"/>
    <x v="0"/>
    <n v="1179"/>
    <x v="0"/>
    <n v="2"/>
    <n v="3"/>
    <x v="2"/>
    <n v="1"/>
    <n v="1706"/>
    <n v="4"/>
    <x v="1"/>
    <n v="73"/>
    <n v="3"/>
    <x v="0"/>
    <s v="Sales Executive"/>
    <n v="4"/>
    <s v="Married"/>
    <x v="1128"/>
    <n v="6069"/>
    <n v="1"/>
    <s v="Y"/>
    <x v="0"/>
    <n v="17"/>
    <n v="3"/>
    <n v="1"/>
    <x v="0"/>
    <n v="1"/>
    <n v="10"/>
    <n v="3"/>
    <n v="3"/>
    <n v="10"/>
    <n v="9"/>
    <x v="6"/>
    <n v="8"/>
  </r>
  <r>
    <n v="24"/>
    <x v="1"/>
    <x v="0"/>
    <n v="581"/>
    <x v="1"/>
    <n v="9"/>
    <n v="3"/>
    <x v="2"/>
    <n v="1"/>
    <n v="1707"/>
    <n v="3"/>
    <x v="1"/>
    <n v="62"/>
    <n v="4"/>
    <x v="1"/>
    <s v="Research Scientist"/>
    <n v="3"/>
    <s v="Married"/>
    <x v="1129"/>
    <n v="17616"/>
    <n v="1"/>
    <s v="Y"/>
    <x v="1"/>
    <n v="16"/>
    <n v="3"/>
    <n v="4"/>
    <x v="0"/>
    <n v="1"/>
    <n v="5"/>
    <n v="1"/>
    <n v="3"/>
    <n v="5"/>
    <n v="3"/>
    <x v="0"/>
    <n v="4"/>
  </r>
  <r>
    <n v="41"/>
    <x v="1"/>
    <x v="0"/>
    <n v="918"/>
    <x v="0"/>
    <n v="6"/>
    <n v="3"/>
    <x v="3"/>
    <n v="1"/>
    <n v="1708"/>
    <n v="4"/>
    <x v="1"/>
    <n v="35"/>
    <n v="3"/>
    <x v="2"/>
    <s v="Sales Executive"/>
    <n v="3"/>
    <s v="Single"/>
    <x v="1130"/>
    <n v="15869"/>
    <n v="1"/>
    <s v="Y"/>
    <x v="1"/>
    <n v="12"/>
    <n v="3"/>
    <n v="2"/>
    <x v="0"/>
    <n v="0"/>
    <n v="10"/>
    <n v="3"/>
    <n v="3"/>
    <n v="10"/>
    <n v="8"/>
    <x v="6"/>
    <n v="7"/>
  </r>
  <r>
    <n v="29"/>
    <x v="1"/>
    <x v="0"/>
    <n v="1082"/>
    <x v="1"/>
    <n v="9"/>
    <n v="4"/>
    <x v="2"/>
    <n v="1"/>
    <n v="1709"/>
    <n v="4"/>
    <x v="0"/>
    <n v="43"/>
    <n v="3"/>
    <x v="1"/>
    <s v="Laboratory Technician"/>
    <n v="3"/>
    <s v="Married"/>
    <x v="1131"/>
    <n v="25412"/>
    <n v="9"/>
    <s v="Y"/>
    <x v="1"/>
    <n v="17"/>
    <n v="3"/>
    <n v="3"/>
    <x v="0"/>
    <n v="1"/>
    <n v="9"/>
    <n v="2"/>
    <n v="3"/>
    <n v="5"/>
    <n v="3"/>
    <x v="1"/>
    <n v="2"/>
  </r>
  <r>
    <n v="36"/>
    <x v="1"/>
    <x v="0"/>
    <n v="530"/>
    <x v="0"/>
    <n v="2"/>
    <n v="4"/>
    <x v="0"/>
    <n v="1"/>
    <n v="1710"/>
    <n v="3"/>
    <x v="0"/>
    <n v="51"/>
    <n v="3"/>
    <x v="0"/>
    <s v="Sales Representative"/>
    <n v="4"/>
    <s v="Single"/>
    <x v="1132"/>
    <n v="7439"/>
    <n v="3"/>
    <s v="Y"/>
    <x v="1"/>
    <n v="15"/>
    <n v="3"/>
    <n v="3"/>
    <x v="0"/>
    <n v="0"/>
    <n v="17"/>
    <n v="2"/>
    <n v="2"/>
    <n v="13"/>
    <n v="7"/>
    <x v="7"/>
    <n v="7"/>
  </r>
  <r>
    <n v="45"/>
    <x v="1"/>
    <x v="2"/>
    <n v="1238"/>
    <x v="1"/>
    <n v="1"/>
    <n v="1"/>
    <x v="0"/>
    <n v="1"/>
    <n v="1712"/>
    <n v="3"/>
    <x v="1"/>
    <n v="74"/>
    <n v="2"/>
    <x v="2"/>
    <s v="Healthcare Representative"/>
    <n v="3"/>
    <s v="Married"/>
    <x v="1133"/>
    <n v="3395"/>
    <n v="3"/>
    <s v="Y"/>
    <x v="1"/>
    <n v="23"/>
    <n v="4"/>
    <n v="4"/>
    <x v="0"/>
    <n v="1"/>
    <n v="25"/>
    <n v="3"/>
    <n v="2"/>
    <n v="23"/>
    <n v="15"/>
    <x v="15"/>
    <n v="4"/>
  </r>
  <r>
    <n v="24"/>
    <x v="0"/>
    <x v="0"/>
    <n v="240"/>
    <x v="2"/>
    <n v="22"/>
    <n v="1"/>
    <x v="5"/>
    <n v="1"/>
    <n v="1714"/>
    <n v="4"/>
    <x v="1"/>
    <n v="58"/>
    <n v="1"/>
    <x v="1"/>
    <s v="Human Resources"/>
    <n v="3"/>
    <s v="Married"/>
    <x v="1134"/>
    <n v="11585"/>
    <n v="1"/>
    <s v="Y"/>
    <x v="1"/>
    <n v="11"/>
    <n v="3"/>
    <n v="3"/>
    <x v="0"/>
    <n v="1"/>
    <n v="1"/>
    <n v="2"/>
    <n v="3"/>
    <n v="1"/>
    <n v="0"/>
    <x v="0"/>
    <n v="0"/>
  </r>
  <r>
    <n v="47"/>
    <x v="0"/>
    <x v="1"/>
    <n v="1093"/>
    <x v="0"/>
    <n v="9"/>
    <n v="3"/>
    <x v="0"/>
    <n v="1"/>
    <n v="1716"/>
    <n v="3"/>
    <x v="1"/>
    <n v="82"/>
    <n v="1"/>
    <x v="3"/>
    <s v="Sales Executive"/>
    <n v="3"/>
    <s v="Married"/>
    <x v="1135"/>
    <n v="24164"/>
    <n v="7"/>
    <s v="Y"/>
    <x v="1"/>
    <n v="11"/>
    <n v="3"/>
    <n v="3"/>
    <x v="0"/>
    <n v="0"/>
    <n v="25"/>
    <n v="3"/>
    <n v="1"/>
    <n v="23"/>
    <n v="5"/>
    <x v="15"/>
    <n v="10"/>
  </r>
  <r>
    <n v="26"/>
    <x v="1"/>
    <x v="0"/>
    <n v="390"/>
    <x v="1"/>
    <n v="17"/>
    <n v="4"/>
    <x v="2"/>
    <n v="1"/>
    <n v="1718"/>
    <n v="4"/>
    <x v="1"/>
    <n v="62"/>
    <n v="1"/>
    <x v="1"/>
    <s v="Laboratory Technician"/>
    <n v="3"/>
    <s v="Married"/>
    <x v="1136"/>
    <n v="6217"/>
    <n v="1"/>
    <s v="Y"/>
    <x v="1"/>
    <n v="15"/>
    <n v="3"/>
    <n v="3"/>
    <x v="0"/>
    <n v="3"/>
    <n v="3"/>
    <n v="3"/>
    <n v="4"/>
    <n v="3"/>
    <n v="2"/>
    <x v="0"/>
    <n v="2"/>
  </r>
  <r>
    <n v="45"/>
    <x v="1"/>
    <x v="0"/>
    <n v="1005"/>
    <x v="1"/>
    <n v="28"/>
    <n v="2"/>
    <x v="4"/>
    <n v="1"/>
    <n v="1719"/>
    <n v="4"/>
    <x v="0"/>
    <n v="48"/>
    <n v="2"/>
    <x v="3"/>
    <s v="Research Director"/>
    <n v="2"/>
    <s v="Single"/>
    <x v="1137"/>
    <n v="17119"/>
    <n v="1"/>
    <s v="Y"/>
    <x v="1"/>
    <n v="11"/>
    <n v="3"/>
    <n v="3"/>
    <x v="0"/>
    <n v="0"/>
    <n v="21"/>
    <n v="2"/>
    <n v="3"/>
    <n v="21"/>
    <n v="6"/>
    <x v="6"/>
    <n v="6"/>
  </r>
  <r>
    <n v="32"/>
    <x v="1"/>
    <x v="1"/>
    <n v="585"/>
    <x v="1"/>
    <n v="10"/>
    <n v="3"/>
    <x v="0"/>
    <n v="1"/>
    <n v="1720"/>
    <n v="1"/>
    <x v="1"/>
    <n v="56"/>
    <n v="3"/>
    <x v="1"/>
    <s v="Research Scientist"/>
    <n v="3"/>
    <s v="Married"/>
    <x v="1138"/>
    <n v="17360"/>
    <n v="6"/>
    <s v="Y"/>
    <x v="1"/>
    <n v="13"/>
    <n v="3"/>
    <n v="1"/>
    <x v="0"/>
    <n v="1"/>
    <n v="10"/>
    <n v="3"/>
    <n v="2"/>
    <n v="5"/>
    <n v="2"/>
    <x v="1"/>
    <n v="3"/>
  </r>
  <r>
    <n v="31"/>
    <x v="1"/>
    <x v="0"/>
    <n v="741"/>
    <x v="1"/>
    <n v="2"/>
    <n v="4"/>
    <x v="0"/>
    <n v="1"/>
    <n v="1721"/>
    <n v="2"/>
    <x v="1"/>
    <n v="69"/>
    <n v="3"/>
    <x v="1"/>
    <s v="Laboratory Technician"/>
    <n v="3"/>
    <s v="Married"/>
    <x v="1139"/>
    <n v="18103"/>
    <n v="1"/>
    <s v="Y"/>
    <x v="1"/>
    <n v="14"/>
    <n v="3"/>
    <n v="4"/>
    <x v="0"/>
    <n v="1"/>
    <n v="6"/>
    <n v="2"/>
    <n v="4"/>
    <n v="5"/>
    <n v="2"/>
    <x v="0"/>
    <n v="3"/>
  </r>
  <r>
    <n v="41"/>
    <x v="1"/>
    <x v="2"/>
    <n v="552"/>
    <x v="2"/>
    <n v="4"/>
    <n v="3"/>
    <x v="5"/>
    <n v="1"/>
    <n v="1722"/>
    <n v="3"/>
    <x v="1"/>
    <n v="60"/>
    <n v="1"/>
    <x v="0"/>
    <s v="Human Resources"/>
    <n v="2"/>
    <s v="Married"/>
    <x v="1140"/>
    <n v="20794"/>
    <n v="6"/>
    <s v="Y"/>
    <x v="1"/>
    <n v="19"/>
    <n v="3"/>
    <n v="2"/>
    <x v="0"/>
    <n v="1"/>
    <n v="10"/>
    <n v="4"/>
    <n v="3"/>
    <n v="3"/>
    <n v="2"/>
    <x v="1"/>
    <n v="2"/>
  </r>
  <r>
    <n v="40"/>
    <x v="1"/>
    <x v="0"/>
    <n v="369"/>
    <x v="1"/>
    <n v="8"/>
    <n v="2"/>
    <x v="0"/>
    <n v="1"/>
    <n v="1724"/>
    <n v="2"/>
    <x v="0"/>
    <n v="92"/>
    <n v="3"/>
    <x v="0"/>
    <s v="Manufacturing Director"/>
    <n v="1"/>
    <s v="Married"/>
    <x v="1141"/>
    <n v="5041"/>
    <n v="2"/>
    <s v="Y"/>
    <x v="0"/>
    <n v="16"/>
    <n v="3"/>
    <n v="2"/>
    <x v="0"/>
    <n v="1"/>
    <n v="18"/>
    <n v="3"/>
    <n v="3"/>
    <n v="1"/>
    <n v="0"/>
    <x v="0"/>
    <n v="0"/>
  </r>
  <r>
    <n v="24"/>
    <x v="1"/>
    <x v="0"/>
    <n v="506"/>
    <x v="1"/>
    <n v="29"/>
    <n v="1"/>
    <x v="2"/>
    <n v="1"/>
    <n v="1725"/>
    <n v="2"/>
    <x v="1"/>
    <n v="91"/>
    <n v="3"/>
    <x v="1"/>
    <s v="Laboratory Technician"/>
    <n v="1"/>
    <s v="Divorced"/>
    <x v="1142"/>
    <n v="3622"/>
    <n v="1"/>
    <s v="Y"/>
    <x v="1"/>
    <n v="13"/>
    <n v="3"/>
    <n v="2"/>
    <x v="0"/>
    <n v="3"/>
    <n v="6"/>
    <n v="2"/>
    <n v="4"/>
    <n v="6"/>
    <n v="2"/>
    <x v="1"/>
    <n v="2"/>
  </r>
  <r>
    <n v="46"/>
    <x v="1"/>
    <x v="0"/>
    <n v="717"/>
    <x v="1"/>
    <n v="13"/>
    <n v="4"/>
    <x v="0"/>
    <n v="1"/>
    <n v="1727"/>
    <n v="3"/>
    <x v="1"/>
    <n v="34"/>
    <n v="3"/>
    <x v="0"/>
    <s v="Healthcare Representative"/>
    <n v="2"/>
    <s v="Single"/>
    <x v="622"/>
    <n v="9697"/>
    <n v="6"/>
    <s v="Y"/>
    <x v="1"/>
    <n v="14"/>
    <n v="3"/>
    <n v="4"/>
    <x v="0"/>
    <n v="0"/>
    <n v="19"/>
    <n v="3"/>
    <n v="3"/>
    <n v="10"/>
    <n v="7"/>
    <x v="0"/>
    <n v="9"/>
  </r>
  <r>
    <n v="35"/>
    <x v="1"/>
    <x v="0"/>
    <n v="1370"/>
    <x v="1"/>
    <n v="27"/>
    <n v="4"/>
    <x v="0"/>
    <n v="1"/>
    <n v="1728"/>
    <n v="4"/>
    <x v="1"/>
    <n v="49"/>
    <n v="3"/>
    <x v="0"/>
    <s v="Manufacturing Director"/>
    <n v="3"/>
    <s v="Married"/>
    <x v="1143"/>
    <n v="5151"/>
    <n v="2"/>
    <s v="Y"/>
    <x v="1"/>
    <n v="16"/>
    <n v="3"/>
    <n v="2"/>
    <x v="0"/>
    <n v="1"/>
    <n v="17"/>
    <n v="3"/>
    <n v="3"/>
    <n v="7"/>
    <n v="7"/>
    <x v="0"/>
    <n v="7"/>
  </r>
  <r>
    <n v="30"/>
    <x v="1"/>
    <x v="0"/>
    <n v="793"/>
    <x v="1"/>
    <n v="16"/>
    <n v="1"/>
    <x v="0"/>
    <n v="1"/>
    <n v="1729"/>
    <n v="2"/>
    <x v="1"/>
    <n v="33"/>
    <n v="3"/>
    <x v="1"/>
    <s v="Research Scientist"/>
    <n v="4"/>
    <s v="Married"/>
    <x v="1144"/>
    <n v="3811"/>
    <n v="1"/>
    <s v="Y"/>
    <x v="1"/>
    <n v="12"/>
    <n v="3"/>
    <n v="2"/>
    <x v="0"/>
    <n v="1"/>
    <n v="10"/>
    <n v="2"/>
    <n v="2"/>
    <n v="10"/>
    <n v="0"/>
    <x v="0"/>
    <n v="8"/>
  </r>
  <r>
    <n v="47"/>
    <x v="1"/>
    <x v="2"/>
    <n v="543"/>
    <x v="0"/>
    <n v="2"/>
    <n v="4"/>
    <x v="3"/>
    <n v="1"/>
    <n v="1731"/>
    <n v="3"/>
    <x v="1"/>
    <n v="87"/>
    <n v="3"/>
    <x v="0"/>
    <s v="Sales Executive"/>
    <n v="2"/>
    <s v="Married"/>
    <x v="1145"/>
    <n v="3536"/>
    <n v="7"/>
    <s v="Y"/>
    <x v="1"/>
    <n v="11"/>
    <n v="3"/>
    <n v="4"/>
    <x v="0"/>
    <n v="1"/>
    <n v="4"/>
    <n v="3"/>
    <n v="1"/>
    <n v="1"/>
    <n v="0"/>
    <x v="0"/>
    <n v="0"/>
  </r>
  <r>
    <n v="46"/>
    <x v="1"/>
    <x v="0"/>
    <n v="1277"/>
    <x v="0"/>
    <n v="2"/>
    <n v="3"/>
    <x v="0"/>
    <n v="1"/>
    <n v="1732"/>
    <n v="3"/>
    <x v="1"/>
    <n v="74"/>
    <n v="3"/>
    <x v="2"/>
    <s v="Sales Executive"/>
    <n v="4"/>
    <s v="Divorced"/>
    <x v="1146"/>
    <n v="5596"/>
    <n v="4"/>
    <s v="Y"/>
    <x v="0"/>
    <n v="12"/>
    <n v="3"/>
    <n v="2"/>
    <x v="0"/>
    <n v="1"/>
    <n v="13"/>
    <n v="5"/>
    <n v="2"/>
    <n v="10"/>
    <n v="6"/>
    <x v="0"/>
    <n v="3"/>
  </r>
  <r>
    <n v="36"/>
    <x v="0"/>
    <x v="0"/>
    <n v="1456"/>
    <x v="0"/>
    <n v="13"/>
    <n v="5"/>
    <x v="3"/>
    <n v="1"/>
    <n v="1733"/>
    <n v="2"/>
    <x v="1"/>
    <n v="96"/>
    <n v="2"/>
    <x v="0"/>
    <s v="Sales Executive"/>
    <n v="1"/>
    <s v="Divorced"/>
    <x v="1147"/>
    <n v="8658"/>
    <n v="5"/>
    <s v="Y"/>
    <x v="0"/>
    <n v="13"/>
    <n v="3"/>
    <n v="2"/>
    <x v="0"/>
    <n v="3"/>
    <n v="16"/>
    <n v="3"/>
    <n v="3"/>
    <n v="2"/>
    <n v="2"/>
    <x v="3"/>
    <n v="2"/>
  </r>
  <r>
    <n v="32"/>
    <x v="0"/>
    <x v="0"/>
    <n v="964"/>
    <x v="0"/>
    <n v="1"/>
    <n v="2"/>
    <x v="0"/>
    <n v="1"/>
    <n v="1734"/>
    <n v="1"/>
    <x v="1"/>
    <n v="34"/>
    <n v="1"/>
    <x v="0"/>
    <s v="Sales Executive"/>
    <n v="2"/>
    <s v="Single"/>
    <x v="1148"/>
    <n v="12147"/>
    <n v="6"/>
    <s v="Y"/>
    <x v="1"/>
    <n v="15"/>
    <n v="3"/>
    <n v="2"/>
    <x v="0"/>
    <n v="0"/>
    <n v="10"/>
    <n v="2"/>
    <n v="3"/>
    <n v="0"/>
    <n v="0"/>
    <x v="0"/>
    <n v="0"/>
  </r>
  <r>
    <n v="23"/>
    <x v="1"/>
    <x v="0"/>
    <n v="160"/>
    <x v="1"/>
    <n v="4"/>
    <n v="1"/>
    <x v="2"/>
    <n v="1"/>
    <n v="1735"/>
    <n v="3"/>
    <x v="0"/>
    <n v="51"/>
    <n v="3"/>
    <x v="1"/>
    <s v="Laboratory Technician"/>
    <n v="2"/>
    <s v="Single"/>
    <x v="1149"/>
    <n v="12862"/>
    <n v="1"/>
    <s v="Y"/>
    <x v="1"/>
    <n v="13"/>
    <n v="3"/>
    <n v="3"/>
    <x v="0"/>
    <n v="0"/>
    <n v="3"/>
    <n v="3"/>
    <n v="1"/>
    <n v="3"/>
    <n v="2"/>
    <x v="1"/>
    <n v="2"/>
  </r>
  <r>
    <n v="31"/>
    <x v="1"/>
    <x v="1"/>
    <n v="163"/>
    <x v="1"/>
    <n v="24"/>
    <n v="1"/>
    <x v="4"/>
    <n v="1"/>
    <n v="1736"/>
    <n v="4"/>
    <x v="0"/>
    <n v="30"/>
    <n v="3"/>
    <x v="0"/>
    <s v="Manufacturing Director"/>
    <n v="4"/>
    <s v="Single"/>
    <x v="319"/>
    <n v="6670"/>
    <n v="2"/>
    <s v="Y"/>
    <x v="1"/>
    <n v="20"/>
    <n v="4"/>
    <n v="4"/>
    <x v="0"/>
    <n v="0"/>
    <n v="9"/>
    <n v="3"/>
    <n v="2"/>
    <n v="5"/>
    <n v="4"/>
    <x v="1"/>
    <n v="4"/>
  </r>
  <r>
    <n v="39"/>
    <x v="1"/>
    <x v="2"/>
    <n v="792"/>
    <x v="1"/>
    <n v="1"/>
    <n v="3"/>
    <x v="0"/>
    <n v="1"/>
    <n v="1737"/>
    <n v="4"/>
    <x v="1"/>
    <n v="77"/>
    <n v="3"/>
    <x v="0"/>
    <s v="Laboratory Technician"/>
    <n v="4"/>
    <s v="Married"/>
    <x v="1150"/>
    <n v="8989"/>
    <n v="1"/>
    <s v="Y"/>
    <x v="0"/>
    <n v="15"/>
    <n v="3"/>
    <n v="4"/>
    <x v="0"/>
    <n v="1"/>
    <n v="9"/>
    <n v="2"/>
    <n v="3"/>
    <n v="9"/>
    <n v="8"/>
    <x v="8"/>
    <n v="8"/>
  </r>
  <r>
    <n v="32"/>
    <x v="1"/>
    <x v="0"/>
    <n v="371"/>
    <x v="0"/>
    <n v="19"/>
    <n v="3"/>
    <x v="0"/>
    <n v="1"/>
    <n v="1739"/>
    <n v="4"/>
    <x v="1"/>
    <n v="80"/>
    <n v="1"/>
    <x v="2"/>
    <s v="Sales Executive"/>
    <n v="3"/>
    <s v="Married"/>
    <x v="1151"/>
    <n v="3840"/>
    <n v="3"/>
    <s v="Y"/>
    <x v="1"/>
    <n v="13"/>
    <n v="3"/>
    <n v="3"/>
    <x v="0"/>
    <n v="1"/>
    <n v="10"/>
    <n v="2"/>
    <n v="1"/>
    <n v="4"/>
    <n v="3"/>
    <x v="0"/>
    <n v="2"/>
  </r>
  <r>
    <n v="40"/>
    <x v="1"/>
    <x v="0"/>
    <n v="611"/>
    <x v="0"/>
    <n v="7"/>
    <n v="4"/>
    <x v="2"/>
    <n v="1"/>
    <n v="1740"/>
    <n v="2"/>
    <x v="1"/>
    <n v="88"/>
    <n v="3"/>
    <x v="4"/>
    <s v="Manager"/>
    <n v="2"/>
    <s v="Single"/>
    <x v="1152"/>
    <n v="4349"/>
    <n v="1"/>
    <s v="Y"/>
    <x v="1"/>
    <n v="14"/>
    <n v="3"/>
    <n v="2"/>
    <x v="0"/>
    <n v="0"/>
    <n v="21"/>
    <n v="3"/>
    <n v="2"/>
    <n v="21"/>
    <n v="8"/>
    <x v="12"/>
    <n v="8"/>
  </r>
  <r>
    <n v="45"/>
    <x v="1"/>
    <x v="0"/>
    <n v="176"/>
    <x v="2"/>
    <n v="4"/>
    <n v="3"/>
    <x v="0"/>
    <n v="1"/>
    <n v="1744"/>
    <n v="3"/>
    <x v="0"/>
    <n v="56"/>
    <n v="1"/>
    <x v="2"/>
    <s v="Human Resources"/>
    <n v="3"/>
    <s v="Married"/>
    <x v="1153"/>
    <n v="6595"/>
    <n v="4"/>
    <s v="Y"/>
    <x v="1"/>
    <n v="21"/>
    <n v="4"/>
    <n v="3"/>
    <x v="0"/>
    <n v="2"/>
    <n v="9"/>
    <n v="2"/>
    <n v="4"/>
    <n v="5"/>
    <n v="0"/>
    <x v="0"/>
    <n v="3"/>
  </r>
  <r>
    <n v="30"/>
    <x v="1"/>
    <x v="1"/>
    <n v="1312"/>
    <x v="1"/>
    <n v="2"/>
    <n v="4"/>
    <x v="4"/>
    <n v="1"/>
    <n v="1745"/>
    <n v="4"/>
    <x v="0"/>
    <n v="78"/>
    <n v="2"/>
    <x v="1"/>
    <s v="Research Scientist"/>
    <n v="1"/>
    <s v="Single"/>
    <x v="775"/>
    <n v="26427"/>
    <n v="0"/>
    <s v="Y"/>
    <x v="1"/>
    <n v="16"/>
    <n v="3"/>
    <n v="4"/>
    <x v="0"/>
    <n v="0"/>
    <n v="10"/>
    <n v="2"/>
    <n v="3"/>
    <n v="9"/>
    <n v="7"/>
    <x v="0"/>
    <n v="7"/>
  </r>
  <r>
    <n v="24"/>
    <x v="1"/>
    <x v="1"/>
    <n v="897"/>
    <x v="2"/>
    <n v="10"/>
    <n v="3"/>
    <x v="2"/>
    <n v="1"/>
    <n v="1746"/>
    <n v="1"/>
    <x v="1"/>
    <n v="59"/>
    <n v="3"/>
    <x v="1"/>
    <s v="Human Resources"/>
    <n v="4"/>
    <s v="Married"/>
    <x v="1154"/>
    <n v="2097"/>
    <n v="0"/>
    <s v="Y"/>
    <x v="1"/>
    <n v="14"/>
    <n v="3"/>
    <n v="4"/>
    <x v="0"/>
    <n v="1"/>
    <n v="3"/>
    <n v="2"/>
    <n v="3"/>
    <n v="2"/>
    <n v="2"/>
    <x v="3"/>
    <n v="1"/>
  </r>
  <r>
    <n v="30"/>
    <x v="0"/>
    <x v="1"/>
    <n v="600"/>
    <x v="2"/>
    <n v="8"/>
    <n v="3"/>
    <x v="5"/>
    <n v="1"/>
    <n v="1747"/>
    <n v="3"/>
    <x v="0"/>
    <n v="66"/>
    <n v="2"/>
    <x v="1"/>
    <s v="Human Resources"/>
    <n v="4"/>
    <s v="Divorced"/>
    <x v="1155"/>
    <n v="9732"/>
    <n v="6"/>
    <s v="Y"/>
    <x v="1"/>
    <n v="11"/>
    <n v="3"/>
    <n v="3"/>
    <x v="0"/>
    <n v="1"/>
    <n v="6"/>
    <n v="0"/>
    <n v="2"/>
    <n v="4"/>
    <n v="2"/>
    <x v="1"/>
    <n v="2"/>
  </r>
  <r>
    <n v="31"/>
    <x v="1"/>
    <x v="0"/>
    <n v="1003"/>
    <x v="0"/>
    <n v="5"/>
    <n v="3"/>
    <x v="4"/>
    <n v="1"/>
    <n v="1749"/>
    <n v="1"/>
    <x v="1"/>
    <n v="51"/>
    <n v="3"/>
    <x v="0"/>
    <s v="Sales Executive"/>
    <n v="3"/>
    <s v="Married"/>
    <x v="1156"/>
    <n v="20943"/>
    <n v="1"/>
    <s v="Y"/>
    <x v="1"/>
    <n v="19"/>
    <n v="3"/>
    <n v="3"/>
    <x v="0"/>
    <n v="1"/>
    <n v="6"/>
    <n v="3"/>
    <n v="3"/>
    <n v="5"/>
    <n v="2"/>
    <x v="0"/>
    <n v="2"/>
  </r>
  <r>
    <n v="27"/>
    <x v="1"/>
    <x v="0"/>
    <n v="1054"/>
    <x v="1"/>
    <n v="8"/>
    <n v="3"/>
    <x v="2"/>
    <n v="1"/>
    <n v="1751"/>
    <n v="3"/>
    <x v="0"/>
    <n v="67"/>
    <n v="3"/>
    <x v="1"/>
    <s v="Research Scientist"/>
    <n v="4"/>
    <s v="Single"/>
    <x v="1157"/>
    <n v="6152"/>
    <n v="1"/>
    <s v="Y"/>
    <x v="1"/>
    <n v="11"/>
    <n v="3"/>
    <n v="3"/>
    <x v="0"/>
    <n v="0"/>
    <n v="6"/>
    <n v="5"/>
    <n v="2"/>
    <n v="6"/>
    <n v="2"/>
    <x v="1"/>
    <n v="4"/>
  </r>
  <r>
    <n v="29"/>
    <x v="0"/>
    <x v="0"/>
    <n v="428"/>
    <x v="0"/>
    <n v="9"/>
    <n v="3"/>
    <x v="3"/>
    <n v="1"/>
    <n v="1752"/>
    <n v="2"/>
    <x v="0"/>
    <n v="52"/>
    <n v="1"/>
    <x v="1"/>
    <s v="Sales Representative"/>
    <n v="2"/>
    <s v="Single"/>
    <x v="1158"/>
    <n v="14630"/>
    <n v="1"/>
    <s v="Y"/>
    <x v="1"/>
    <n v="13"/>
    <n v="3"/>
    <n v="3"/>
    <x v="0"/>
    <n v="0"/>
    <n v="2"/>
    <n v="3"/>
    <n v="3"/>
    <n v="2"/>
    <n v="2"/>
    <x v="3"/>
    <n v="2"/>
  </r>
  <r>
    <n v="29"/>
    <x v="1"/>
    <x v="1"/>
    <n v="461"/>
    <x v="1"/>
    <n v="1"/>
    <n v="3"/>
    <x v="0"/>
    <n v="1"/>
    <n v="1753"/>
    <n v="4"/>
    <x v="1"/>
    <n v="70"/>
    <n v="4"/>
    <x v="0"/>
    <s v="Healthcare Representative"/>
    <n v="3"/>
    <s v="Single"/>
    <x v="1159"/>
    <n v="23060"/>
    <n v="8"/>
    <s v="Y"/>
    <x v="0"/>
    <n v="12"/>
    <n v="3"/>
    <n v="4"/>
    <x v="0"/>
    <n v="0"/>
    <n v="10"/>
    <n v="5"/>
    <n v="4"/>
    <n v="3"/>
    <n v="2"/>
    <x v="0"/>
    <n v="2"/>
  </r>
  <r>
    <n v="30"/>
    <x v="1"/>
    <x v="0"/>
    <n v="979"/>
    <x v="0"/>
    <n v="15"/>
    <n v="2"/>
    <x v="3"/>
    <n v="1"/>
    <n v="1754"/>
    <n v="3"/>
    <x v="1"/>
    <n v="94"/>
    <n v="2"/>
    <x v="2"/>
    <s v="Sales Executive"/>
    <n v="1"/>
    <s v="Divorced"/>
    <x v="1160"/>
    <n v="3088"/>
    <n v="2"/>
    <s v="Y"/>
    <x v="1"/>
    <n v="11"/>
    <n v="3"/>
    <n v="1"/>
    <x v="0"/>
    <n v="1"/>
    <n v="12"/>
    <n v="2"/>
    <n v="3"/>
    <n v="7"/>
    <n v="7"/>
    <x v="1"/>
    <n v="7"/>
  </r>
  <r>
    <n v="34"/>
    <x v="1"/>
    <x v="0"/>
    <n v="181"/>
    <x v="1"/>
    <n v="2"/>
    <n v="4"/>
    <x v="2"/>
    <n v="1"/>
    <n v="1755"/>
    <n v="4"/>
    <x v="1"/>
    <n v="97"/>
    <n v="4"/>
    <x v="1"/>
    <s v="Research Scientist"/>
    <n v="4"/>
    <s v="Married"/>
    <x v="1161"/>
    <n v="5586"/>
    <n v="0"/>
    <s v="Y"/>
    <x v="0"/>
    <n v="14"/>
    <n v="3"/>
    <n v="1"/>
    <x v="0"/>
    <n v="3"/>
    <n v="6"/>
    <n v="3"/>
    <n v="3"/>
    <n v="5"/>
    <n v="0"/>
    <x v="1"/>
    <n v="2"/>
  </r>
  <r>
    <n v="33"/>
    <x v="1"/>
    <x v="2"/>
    <n v="1283"/>
    <x v="0"/>
    <n v="2"/>
    <n v="3"/>
    <x v="3"/>
    <n v="1"/>
    <n v="1756"/>
    <n v="4"/>
    <x v="0"/>
    <n v="62"/>
    <n v="3"/>
    <x v="0"/>
    <s v="Sales Executive"/>
    <n v="2"/>
    <s v="Single"/>
    <x v="1162"/>
    <n v="10697"/>
    <n v="8"/>
    <s v="Y"/>
    <x v="1"/>
    <n v="15"/>
    <n v="3"/>
    <n v="4"/>
    <x v="0"/>
    <n v="0"/>
    <n v="13"/>
    <n v="2"/>
    <n v="2"/>
    <n v="11"/>
    <n v="7"/>
    <x v="1"/>
    <n v="7"/>
  </r>
  <r>
    <n v="49"/>
    <x v="1"/>
    <x v="0"/>
    <n v="1313"/>
    <x v="0"/>
    <n v="11"/>
    <n v="4"/>
    <x v="3"/>
    <n v="1"/>
    <n v="1757"/>
    <n v="4"/>
    <x v="0"/>
    <n v="80"/>
    <n v="3"/>
    <x v="0"/>
    <s v="Sales Executive"/>
    <n v="4"/>
    <s v="Single"/>
    <x v="1163"/>
    <n v="8191"/>
    <n v="3"/>
    <s v="Y"/>
    <x v="1"/>
    <n v="12"/>
    <n v="3"/>
    <n v="3"/>
    <x v="0"/>
    <n v="0"/>
    <n v="8"/>
    <n v="1"/>
    <n v="4"/>
    <n v="5"/>
    <n v="1"/>
    <x v="0"/>
    <n v="4"/>
  </r>
  <r>
    <n v="33"/>
    <x v="0"/>
    <x v="0"/>
    <n v="211"/>
    <x v="0"/>
    <n v="16"/>
    <n v="3"/>
    <x v="0"/>
    <n v="1"/>
    <n v="1758"/>
    <n v="1"/>
    <x v="0"/>
    <n v="74"/>
    <n v="3"/>
    <x v="2"/>
    <s v="Sales Executive"/>
    <n v="1"/>
    <s v="Single"/>
    <x v="1164"/>
    <n v="10092"/>
    <n v="2"/>
    <s v="Y"/>
    <x v="0"/>
    <n v="20"/>
    <n v="4"/>
    <n v="3"/>
    <x v="0"/>
    <n v="0"/>
    <n v="11"/>
    <n v="2"/>
    <n v="2"/>
    <n v="0"/>
    <n v="0"/>
    <x v="0"/>
    <n v="0"/>
  </r>
  <r>
    <n v="38"/>
    <x v="1"/>
    <x v="1"/>
    <n v="594"/>
    <x v="1"/>
    <n v="2"/>
    <n v="2"/>
    <x v="2"/>
    <n v="1"/>
    <n v="1760"/>
    <n v="3"/>
    <x v="0"/>
    <n v="75"/>
    <n v="2"/>
    <x v="1"/>
    <s v="Laboratory Technician"/>
    <n v="2"/>
    <s v="Married"/>
    <x v="1165"/>
    <n v="15963"/>
    <n v="4"/>
    <s v="Y"/>
    <x v="1"/>
    <n v="14"/>
    <n v="3"/>
    <n v="2"/>
    <x v="0"/>
    <n v="1"/>
    <n v="9"/>
    <n v="4"/>
    <n v="2"/>
    <n v="6"/>
    <n v="1"/>
    <x v="0"/>
    <n v="5"/>
  </r>
  <r>
    <n v="31"/>
    <x v="0"/>
    <x v="0"/>
    <n v="1079"/>
    <x v="0"/>
    <n v="16"/>
    <n v="4"/>
    <x v="3"/>
    <n v="1"/>
    <n v="1761"/>
    <n v="1"/>
    <x v="1"/>
    <n v="70"/>
    <n v="3"/>
    <x v="2"/>
    <s v="Sales Executive"/>
    <n v="3"/>
    <s v="Married"/>
    <x v="1166"/>
    <n v="19002"/>
    <n v="2"/>
    <s v="Y"/>
    <x v="1"/>
    <n v="13"/>
    <n v="3"/>
    <n v="1"/>
    <x v="0"/>
    <n v="3"/>
    <n v="10"/>
    <n v="2"/>
    <n v="3"/>
    <n v="1"/>
    <n v="0"/>
    <x v="0"/>
    <n v="0"/>
  </r>
  <r>
    <n v="29"/>
    <x v="1"/>
    <x v="0"/>
    <n v="590"/>
    <x v="1"/>
    <n v="4"/>
    <n v="3"/>
    <x v="4"/>
    <n v="1"/>
    <n v="1762"/>
    <n v="4"/>
    <x v="0"/>
    <n v="91"/>
    <n v="2"/>
    <x v="1"/>
    <s v="Research Scientist"/>
    <n v="1"/>
    <s v="Divorced"/>
    <x v="971"/>
    <n v="10007"/>
    <n v="1"/>
    <s v="Y"/>
    <x v="1"/>
    <n v="13"/>
    <n v="3"/>
    <n v="3"/>
    <x v="0"/>
    <n v="1"/>
    <n v="1"/>
    <n v="2"/>
    <n v="3"/>
    <n v="1"/>
    <n v="0"/>
    <x v="0"/>
    <n v="0"/>
  </r>
  <r>
    <n v="30"/>
    <x v="1"/>
    <x v="0"/>
    <n v="305"/>
    <x v="1"/>
    <n v="16"/>
    <n v="3"/>
    <x v="0"/>
    <n v="1"/>
    <n v="1763"/>
    <n v="3"/>
    <x v="1"/>
    <n v="58"/>
    <n v="4"/>
    <x v="0"/>
    <s v="Healthcare Representative"/>
    <n v="3"/>
    <s v="Married"/>
    <x v="1167"/>
    <n v="9128"/>
    <n v="3"/>
    <s v="Y"/>
    <x v="1"/>
    <n v="16"/>
    <n v="3"/>
    <n v="3"/>
    <x v="0"/>
    <n v="1"/>
    <n v="10"/>
    <n v="3"/>
    <n v="3"/>
    <n v="7"/>
    <n v="0"/>
    <x v="1"/>
    <n v="7"/>
  </r>
  <r>
    <n v="32"/>
    <x v="1"/>
    <x v="2"/>
    <n v="953"/>
    <x v="1"/>
    <n v="5"/>
    <n v="4"/>
    <x v="4"/>
    <n v="1"/>
    <n v="1764"/>
    <n v="2"/>
    <x v="1"/>
    <n v="65"/>
    <n v="3"/>
    <x v="1"/>
    <s v="Research Scientist"/>
    <n v="2"/>
    <s v="Single"/>
    <x v="1168"/>
    <n v="17674"/>
    <n v="2"/>
    <s v="Y"/>
    <x v="1"/>
    <n v="14"/>
    <n v="3"/>
    <n v="2"/>
    <x v="0"/>
    <n v="0"/>
    <n v="12"/>
    <n v="3"/>
    <n v="3"/>
    <n v="7"/>
    <n v="7"/>
    <x v="0"/>
    <n v="7"/>
  </r>
  <r>
    <n v="38"/>
    <x v="1"/>
    <x v="0"/>
    <n v="833"/>
    <x v="1"/>
    <n v="18"/>
    <n v="3"/>
    <x v="2"/>
    <n v="1"/>
    <n v="1766"/>
    <n v="2"/>
    <x v="1"/>
    <n v="60"/>
    <n v="1"/>
    <x v="0"/>
    <s v="Healthcare Representative"/>
    <n v="4"/>
    <s v="Married"/>
    <x v="1169"/>
    <n v="24539"/>
    <n v="3"/>
    <s v="Y"/>
    <x v="0"/>
    <n v="16"/>
    <n v="3"/>
    <n v="3"/>
    <x v="0"/>
    <n v="1"/>
    <n v="15"/>
    <n v="2"/>
    <n v="3"/>
    <n v="1"/>
    <n v="0"/>
    <x v="1"/>
    <n v="0"/>
  </r>
  <r>
    <n v="43"/>
    <x v="0"/>
    <x v="1"/>
    <n v="807"/>
    <x v="1"/>
    <n v="17"/>
    <n v="3"/>
    <x v="4"/>
    <n v="1"/>
    <n v="1767"/>
    <n v="3"/>
    <x v="1"/>
    <n v="38"/>
    <n v="2"/>
    <x v="1"/>
    <s v="Research Scientist"/>
    <n v="3"/>
    <s v="Married"/>
    <x v="1170"/>
    <n v="15587"/>
    <n v="9"/>
    <s v="Y"/>
    <x v="0"/>
    <n v="16"/>
    <n v="3"/>
    <n v="4"/>
    <x v="0"/>
    <n v="1"/>
    <n v="6"/>
    <n v="4"/>
    <n v="3"/>
    <n v="1"/>
    <n v="0"/>
    <x v="0"/>
    <n v="0"/>
  </r>
  <r>
    <n v="42"/>
    <x v="1"/>
    <x v="0"/>
    <n v="855"/>
    <x v="1"/>
    <n v="12"/>
    <n v="3"/>
    <x v="2"/>
    <n v="1"/>
    <n v="1768"/>
    <n v="2"/>
    <x v="1"/>
    <n v="57"/>
    <n v="3"/>
    <x v="1"/>
    <s v="Laboratory Technician"/>
    <n v="2"/>
    <s v="Divorced"/>
    <x v="1171"/>
    <n v="8952"/>
    <n v="8"/>
    <s v="Y"/>
    <x v="1"/>
    <n v="22"/>
    <n v="4"/>
    <n v="2"/>
    <x v="0"/>
    <n v="3"/>
    <n v="7"/>
    <n v="6"/>
    <n v="2"/>
    <n v="5"/>
    <n v="3"/>
    <x v="0"/>
    <n v="4"/>
  </r>
  <r>
    <n v="55"/>
    <x v="1"/>
    <x v="0"/>
    <n v="478"/>
    <x v="1"/>
    <n v="2"/>
    <n v="3"/>
    <x v="2"/>
    <n v="1"/>
    <n v="1770"/>
    <n v="3"/>
    <x v="1"/>
    <n v="60"/>
    <n v="2"/>
    <x v="4"/>
    <s v="Research Director"/>
    <n v="1"/>
    <s v="Married"/>
    <x v="1172"/>
    <n v="19805"/>
    <n v="8"/>
    <s v="Y"/>
    <x v="1"/>
    <n v="12"/>
    <n v="3"/>
    <n v="2"/>
    <x v="0"/>
    <n v="3"/>
    <n v="34"/>
    <n v="2"/>
    <n v="3"/>
    <n v="1"/>
    <n v="0"/>
    <x v="0"/>
    <n v="0"/>
  </r>
  <r>
    <n v="33"/>
    <x v="1"/>
    <x v="2"/>
    <n v="775"/>
    <x v="1"/>
    <n v="4"/>
    <n v="3"/>
    <x v="4"/>
    <n v="1"/>
    <n v="1771"/>
    <n v="4"/>
    <x v="1"/>
    <n v="90"/>
    <n v="3"/>
    <x v="0"/>
    <s v="Research Scientist"/>
    <n v="2"/>
    <s v="Divorced"/>
    <x v="1173"/>
    <n v="6194"/>
    <n v="5"/>
    <s v="Y"/>
    <x v="1"/>
    <n v="15"/>
    <n v="3"/>
    <n v="4"/>
    <x v="0"/>
    <n v="2"/>
    <n v="11"/>
    <n v="2"/>
    <n v="2"/>
    <n v="9"/>
    <n v="8"/>
    <x v="1"/>
    <n v="7"/>
  </r>
  <r>
    <n v="41"/>
    <x v="1"/>
    <x v="0"/>
    <n v="548"/>
    <x v="1"/>
    <n v="9"/>
    <n v="4"/>
    <x v="0"/>
    <n v="1"/>
    <n v="1772"/>
    <n v="3"/>
    <x v="1"/>
    <n v="94"/>
    <n v="3"/>
    <x v="1"/>
    <s v="Laboratory Technician"/>
    <n v="1"/>
    <s v="Divorced"/>
    <x v="1174"/>
    <n v="20520"/>
    <n v="1"/>
    <s v="Y"/>
    <x v="1"/>
    <n v="20"/>
    <n v="4"/>
    <n v="2"/>
    <x v="0"/>
    <n v="2"/>
    <n v="5"/>
    <n v="2"/>
    <n v="3"/>
    <n v="5"/>
    <n v="3"/>
    <x v="0"/>
    <n v="4"/>
  </r>
  <r>
    <n v="34"/>
    <x v="1"/>
    <x v="2"/>
    <n v="1375"/>
    <x v="0"/>
    <n v="10"/>
    <n v="3"/>
    <x v="0"/>
    <n v="1"/>
    <n v="1774"/>
    <n v="4"/>
    <x v="1"/>
    <n v="87"/>
    <n v="3"/>
    <x v="0"/>
    <s v="Sales Executive"/>
    <n v="3"/>
    <s v="Divorced"/>
    <x v="1175"/>
    <n v="12313"/>
    <n v="1"/>
    <s v="Y"/>
    <x v="0"/>
    <n v="14"/>
    <n v="3"/>
    <n v="3"/>
    <x v="0"/>
    <n v="1"/>
    <n v="15"/>
    <n v="3"/>
    <n v="3"/>
    <n v="15"/>
    <n v="14"/>
    <x v="0"/>
    <n v="7"/>
  </r>
  <r>
    <n v="53"/>
    <x v="1"/>
    <x v="2"/>
    <n v="661"/>
    <x v="1"/>
    <n v="1"/>
    <n v="4"/>
    <x v="2"/>
    <n v="1"/>
    <n v="1775"/>
    <n v="1"/>
    <x v="0"/>
    <n v="60"/>
    <n v="2"/>
    <x v="3"/>
    <s v="Manufacturing Director"/>
    <n v="3"/>
    <s v="Married"/>
    <x v="1176"/>
    <n v="22308"/>
    <n v="4"/>
    <s v="Y"/>
    <x v="0"/>
    <n v="20"/>
    <n v="4"/>
    <n v="4"/>
    <x v="0"/>
    <n v="3"/>
    <n v="27"/>
    <n v="2"/>
    <n v="2"/>
    <n v="3"/>
    <n v="2"/>
    <x v="0"/>
    <n v="2"/>
  </r>
  <r>
    <n v="43"/>
    <x v="1"/>
    <x v="0"/>
    <n v="244"/>
    <x v="2"/>
    <n v="2"/>
    <n v="3"/>
    <x v="0"/>
    <n v="1"/>
    <n v="1778"/>
    <n v="2"/>
    <x v="1"/>
    <n v="97"/>
    <n v="3"/>
    <x v="1"/>
    <s v="Human Resources"/>
    <n v="4"/>
    <s v="Single"/>
    <x v="1177"/>
    <n v="5033"/>
    <n v="0"/>
    <s v="Y"/>
    <x v="1"/>
    <n v="13"/>
    <n v="3"/>
    <n v="2"/>
    <x v="0"/>
    <n v="0"/>
    <n v="10"/>
    <n v="5"/>
    <n v="3"/>
    <n v="9"/>
    <n v="7"/>
    <x v="1"/>
    <n v="8"/>
  </r>
  <r>
    <n v="34"/>
    <x v="1"/>
    <x v="0"/>
    <n v="511"/>
    <x v="0"/>
    <n v="3"/>
    <n v="2"/>
    <x v="0"/>
    <n v="1"/>
    <n v="1779"/>
    <n v="4"/>
    <x v="0"/>
    <n v="32"/>
    <n v="1"/>
    <x v="0"/>
    <s v="Sales Executive"/>
    <n v="4"/>
    <s v="Single"/>
    <x v="1178"/>
    <n v="25353"/>
    <n v="5"/>
    <s v="Y"/>
    <x v="1"/>
    <n v="12"/>
    <n v="3"/>
    <n v="1"/>
    <x v="0"/>
    <n v="0"/>
    <n v="6"/>
    <n v="3"/>
    <n v="3"/>
    <n v="2"/>
    <n v="2"/>
    <x v="3"/>
    <n v="2"/>
  </r>
  <r>
    <n v="21"/>
    <x v="0"/>
    <x v="0"/>
    <n v="337"/>
    <x v="0"/>
    <n v="7"/>
    <n v="1"/>
    <x v="3"/>
    <n v="1"/>
    <n v="1780"/>
    <n v="2"/>
    <x v="1"/>
    <n v="31"/>
    <n v="3"/>
    <x v="1"/>
    <s v="Sales Representative"/>
    <n v="2"/>
    <s v="Single"/>
    <x v="1179"/>
    <n v="4567"/>
    <n v="1"/>
    <s v="Y"/>
    <x v="1"/>
    <n v="13"/>
    <n v="3"/>
    <n v="2"/>
    <x v="0"/>
    <n v="0"/>
    <n v="1"/>
    <n v="3"/>
    <n v="3"/>
    <n v="1"/>
    <n v="0"/>
    <x v="1"/>
    <n v="0"/>
  </r>
  <r>
    <n v="38"/>
    <x v="1"/>
    <x v="0"/>
    <n v="1153"/>
    <x v="1"/>
    <n v="6"/>
    <n v="2"/>
    <x v="1"/>
    <n v="1"/>
    <n v="1782"/>
    <n v="4"/>
    <x v="0"/>
    <n v="40"/>
    <n v="2"/>
    <x v="1"/>
    <s v="Laboratory Technician"/>
    <n v="3"/>
    <s v="Married"/>
    <x v="1180"/>
    <n v="16376"/>
    <n v="1"/>
    <s v="Y"/>
    <x v="1"/>
    <n v="11"/>
    <n v="3"/>
    <n v="2"/>
    <x v="0"/>
    <n v="1"/>
    <n v="5"/>
    <n v="3"/>
    <n v="3"/>
    <n v="5"/>
    <n v="4"/>
    <x v="0"/>
    <n v="4"/>
  </r>
  <r>
    <n v="22"/>
    <x v="0"/>
    <x v="0"/>
    <n v="1294"/>
    <x v="1"/>
    <n v="8"/>
    <n v="1"/>
    <x v="2"/>
    <n v="1"/>
    <n v="1783"/>
    <n v="3"/>
    <x v="0"/>
    <n v="79"/>
    <n v="3"/>
    <x v="1"/>
    <s v="Laboratory Technician"/>
    <n v="1"/>
    <s v="Married"/>
    <x v="1181"/>
    <n v="15999"/>
    <n v="1"/>
    <s v="Y"/>
    <x v="0"/>
    <n v="17"/>
    <n v="3"/>
    <n v="3"/>
    <x v="0"/>
    <n v="0"/>
    <n v="1"/>
    <n v="6"/>
    <n v="3"/>
    <n v="1"/>
    <n v="0"/>
    <x v="0"/>
    <n v="0"/>
  </r>
  <r>
    <n v="31"/>
    <x v="1"/>
    <x v="0"/>
    <n v="196"/>
    <x v="0"/>
    <n v="29"/>
    <n v="4"/>
    <x v="3"/>
    <n v="1"/>
    <n v="1784"/>
    <n v="1"/>
    <x v="0"/>
    <n v="91"/>
    <n v="2"/>
    <x v="0"/>
    <s v="Sales Executive"/>
    <n v="4"/>
    <s v="Married"/>
    <x v="1182"/>
    <n v="13402"/>
    <n v="1"/>
    <s v="Y"/>
    <x v="1"/>
    <n v="14"/>
    <n v="3"/>
    <n v="1"/>
    <x v="0"/>
    <n v="2"/>
    <n v="13"/>
    <n v="3"/>
    <n v="3"/>
    <n v="12"/>
    <n v="7"/>
    <x v="8"/>
    <n v="7"/>
  </r>
  <r>
    <n v="51"/>
    <x v="1"/>
    <x v="0"/>
    <n v="942"/>
    <x v="1"/>
    <n v="3"/>
    <n v="3"/>
    <x v="4"/>
    <n v="1"/>
    <n v="1786"/>
    <n v="1"/>
    <x v="0"/>
    <n v="53"/>
    <n v="3"/>
    <x v="2"/>
    <s v="Manager"/>
    <n v="3"/>
    <s v="Married"/>
    <x v="1183"/>
    <n v="22984"/>
    <n v="2"/>
    <s v="Y"/>
    <x v="1"/>
    <n v="11"/>
    <n v="3"/>
    <n v="4"/>
    <x v="0"/>
    <n v="0"/>
    <n v="15"/>
    <n v="2"/>
    <n v="3"/>
    <n v="2"/>
    <n v="2"/>
    <x v="3"/>
    <n v="2"/>
  </r>
  <r>
    <n v="37"/>
    <x v="1"/>
    <x v="0"/>
    <n v="589"/>
    <x v="0"/>
    <n v="9"/>
    <n v="2"/>
    <x v="3"/>
    <n v="1"/>
    <n v="1787"/>
    <n v="2"/>
    <x v="1"/>
    <n v="46"/>
    <n v="2"/>
    <x v="0"/>
    <s v="Sales Executive"/>
    <n v="2"/>
    <s v="Married"/>
    <x v="1184"/>
    <n v="8800"/>
    <n v="1"/>
    <s v="Y"/>
    <x v="1"/>
    <n v="14"/>
    <n v="3"/>
    <n v="1"/>
    <x v="0"/>
    <n v="2"/>
    <n v="5"/>
    <n v="2"/>
    <n v="3"/>
    <n v="5"/>
    <n v="2"/>
    <x v="0"/>
    <n v="3"/>
  </r>
  <r>
    <n v="46"/>
    <x v="1"/>
    <x v="0"/>
    <n v="734"/>
    <x v="1"/>
    <n v="2"/>
    <n v="4"/>
    <x v="2"/>
    <n v="1"/>
    <n v="1789"/>
    <n v="3"/>
    <x v="1"/>
    <n v="46"/>
    <n v="3"/>
    <x v="4"/>
    <s v="Research Director"/>
    <n v="4"/>
    <s v="Divorced"/>
    <x v="1185"/>
    <n v="14218"/>
    <n v="7"/>
    <s v="Y"/>
    <x v="0"/>
    <n v="17"/>
    <n v="3"/>
    <n v="3"/>
    <x v="0"/>
    <n v="1"/>
    <n v="24"/>
    <n v="3"/>
    <n v="3"/>
    <n v="2"/>
    <n v="1"/>
    <x v="3"/>
    <n v="2"/>
  </r>
  <r>
    <n v="36"/>
    <x v="1"/>
    <x v="0"/>
    <n v="1383"/>
    <x v="1"/>
    <n v="10"/>
    <n v="3"/>
    <x v="0"/>
    <n v="1"/>
    <n v="1790"/>
    <n v="4"/>
    <x v="1"/>
    <n v="90"/>
    <n v="3"/>
    <x v="2"/>
    <s v="Healthcare Representative"/>
    <n v="1"/>
    <s v="Married"/>
    <x v="1186"/>
    <n v="25949"/>
    <n v="7"/>
    <s v="Y"/>
    <x v="0"/>
    <n v="13"/>
    <n v="3"/>
    <n v="4"/>
    <x v="0"/>
    <n v="1"/>
    <n v="15"/>
    <n v="1"/>
    <n v="3"/>
    <n v="12"/>
    <n v="8"/>
    <x v="8"/>
    <n v="7"/>
  </r>
  <r>
    <n v="44"/>
    <x v="0"/>
    <x v="1"/>
    <n v="429"/>
    <x v="1"/>
    <n v="1"/>
    <n v="2"/>
    <x v="2"/>
    <n v="1"/>
    <n v="1792"/>
    <n v="3"/>
    <x v="1"/>
    <n v="99"/>
    <n v="3"/>
    <x v="1"/>
    <s v="Research Scientist"/>
    <n v="2"/>
    <s v="Divorced"/>
    <x v="531"/>
    <n v="11092"/>
    <n v="1"/>
    <s v="Y"/>
    <x v="0"/>
    <n v="12"/>
    <n v="3"/>
    <n v="3"/>
    <x v="0"/>
    <n v="3"/>
    <n v="6"/>
    <n v="2"/>
    <n v="2"/>
    <n v="5"/>
    <n v="3"/>
    <x v="3"/>
    <n v="3"/>
  </r>
  <r>
    <n v="37"/>
    <x v="1"/>
    <x v="0"/>
    <n v="1239"/>
    <x v="2"/>
    <n v="8"/>
    <n v="2"/>
    <x v="1"/>
    <n v="1"/>
    <n v="1794"/>
    <n v="3"/>
    <x v="1"/>
    <n v="89"/>
    <n v="3"/>
    <x v="0"/>
    <s v="Human Resources"/>
    <n v="2"/>
    <s v="Divorced"/>
    <x v="1187"/>
    <n v="12832"/>
    <n v="2"/>
    <s v="Y"/>
    <x v="1"/>
    <n v="13"/>
    <n v="3"/>
    <n v="3"/>
    <x v="0"/>
    <n v="0"/>
    <n v="19"/>
    <n v="4"/>
    <n v="2"/>
    <n v="10"/>
    <n v="0"/>
    <x v="5"/>
    <n v="7"/>
  </r>
  <r>
    <n v="35"/>
    <x v="0"/>
    <x v="0"/>
    <n v="303"/>
    <x v="0"/>
    <n v="27"/>
    <n v="3"/>
    <x v="0"/>
    <n v="1"/>
    <n v="1797"/>
    <n v="3"/>
    <x v="1"/>
    <n v="84"/>
    <n v="3"/>
    <x v="0"/>
    <s v="Sales Executive"/>
    <n v="4"/>
    <s v="Single"/>
    <x v="1188"/>
    <n v="13492"/>
    <n v="1"/>
    <s v="Y"/>
    <x v="0"/>
    <n v="18"/>
    <n v="3"/>
    <n v="4"/>
    <x v="0"/>
    <n v="0"/>
    <n v="10"/>
    <n v="2"/>
    <n v="3"/>
    <n v="10"/>
    <n v="7"/>
    <x v="4"/>
    <n v="7"/>
  </r>
  <r>
    <n v="33"/>
    <x v="1"/>
    <x v="0"/>
    <n v="867"/>
    <x v="1"/>
    <n v="8"/>
    <n v="4"/>
    <x v="0"/>
    <n v="1"/>
    <n v="1798"/>
    <n v="4"/>
    <x v="1"/>
    <n v="90"/>
    <n v="4"/>
    <x v="1"/>
    <s v="Research Scientist"/>
    <n v="1"/>
    <s v="Married"/>
    <x v="1189"/>
    <n v="6076"/>
    <n v="6"/>
    <s v="Y"/>
    <x v="1"/>
    <n v="19"/>
    <n v="3"/>
    <n v="2"/>
    <x v="0"/>
    <n v="1"/>
    <n v="14"/>
    <n v="1"/>
    <n v="3"/>
    <n v="10"/>
    <n v="8"/>
    <x v="4"/>
    <n v="6"/>
  </r>
  <r>
    <n v="28"/>
    <x v="1"/>
    <x v="0"/>
    <n v="1181"/>
    <x v="1"/>
    <n v="1"/>
    <n v="3"/>
    <x v="0"/>
    <n v="1"/>
    <n v="1799"/>
    <n v="3"/>
    <x v="1"/>
    <n v="82"/>
    <n v="3"/>
    <x v="1"/>
    <s v="Research Scientist"/>
    <n v="4"/>
    <s v="Married"/>
    <x v="633"/>
    <n v="5531"/>
    <n v="1"/>
    <s v="Y"/>
    <x v="1"/>
    <n v="11"/>
    <n v="3"/>
    <n v="3"/>
    <x v="0"/>
    <n v="1"/>
    <n v="5"/>
    <n v="6"/>
    <n v="4"/>
    <n v="5"/>
    <n v="3"/>
    <x v="0"/>
    <n v="3"/>
  </r>
  <r>
    <n v="39"/>
    <x v="1"/>
    <x v="0"/>
    <n v="1253"/>
    <x v="1"/>
    <n v="10"/>
    <n v="1"/>
    <x v="2"/>
    <n v="1"/>
    <n v="1800"/>
    <n v="3"/>
    <x v="1"/>
    <n v="65"/>
    <n v="3"/>
    <x v="2"/>
    <s v="Research Director"/>
    <n v="3"/>
    <s v="Single"/>
    <x v="1190"/>
    <n v="7914"/>
    <n v="7"/>
    <s v="Y"/>
    <x v="1"/>
    <n v="21"/>
    <n v="4"/>
    <n v="3"/>
    <x v="0"/>
    <n v="0"/>
    <n v="9"/>
    <n v="3"/>
    <n v="3"/>
    <n v="4"/>
    <n v="3"/>
    <x v="3"/>
    <n v="2"/>
  </r>
  <r>
    <n v="46"/>
    <x v="1"/>
    <x v="2"/>
    <n v="849"/>
    <x v="0"/>
    <n v="26"/>
    <n v="2"/>
    <x v="0"/>
    <n v="1"/>
    <n v="1801"/>
    <n v="2"/>
    <x v="1"/>
    <n v="98"/>
    <n v="2"/>
    <x v="0"/>
    <s v="Sales Executive"/>
    <n v="2"/>
    <s v="Single"/>
    <x v="1191"/>
    <n v="25166"/>
    <n v="8"/>
    <s v="Y"/>
    <x v="1"/>
    <n v="15"/>
    <n v="3"/>
    <n v="3"/>
    <x v="0"/>
    <n v="0"/>
    <n v="6"/>
    <n v="3"/>
    <n v="3"/>
    <n v="2"/>
    <n v="2"/>
    <x v="3"/>
    <n v="2"/>
  </r>
  <r>
    <n v="40"/>
    <x v="1"/>
    <x v="0"/>
    <n v="616"/>
    <x v="1"/>
    <n v="2"/>
    <n v="2"/>
    <x v="0"/>
    <n v="1"/>
    <n v="1802"/>
    <n v="3"/>
    <x v="0"/>
    <n v="99"/>
    <n v="3"/>
    <x v="1"/>
    <s v="Laboratory Technician"/>
    <n v="1"/>
    <s v="Married"/>
    <x v="1192"/>
    <n v="25605"/>
    <n v="4"/>
    <s v="Y"/>
    <x v="1"/>
    <n v="17"/>
    <n v="3"/>
    <n v="4"/>
    <x v="0"/>
    <n v="1"/>
    <n v="7"/>
    <n v="5"/>
    <n v="2"/>
    <n v="4"/>
    <n v="3"/>
    <x v="0"/>
    <n v="2"/>
  </r>
  <r>
    <n v="42"/>
    <x v="1"/>
    <x v="0"/>
    <n v="1128"/>
    <x v="1"/>
    <n v="13"/>
    <n v="3"/>
    <x v="2"/>
    <n v="1"/>
    <n v="1803"/>
    <n v="2"/>
    <x v="1"/>
    <n v="95"/>
    <n v="4"/>
    <x v="0"/>
    <s v="Healthcare Representative"/>
    <n v="1"/>
    <s v="Married"/>
    <x v="1193"/>
    <n v="5696"/>
    <n v="5"/>
    <s v="Y"/>
    <x v="1"/>
    <n v="18"/>
    <n v="3"/>
    <n v="3"/>
    <x v="0"/>
    <n v="2"/>
    <n v="10"/>
    <n v="2"/>
    <n v="2"/>
    <n v="0"/>
    <n v="0"/>
    <x v="0"/>
    <n v="0"/>
  </r>
  <r>
    <n v="35"/>
    <x v="1"/>
    <x v="2"/>
    <n v="1180"/>
    <x v="1"/>
    <n v="2"/>
    <n v="2"/>
    <x v="2"/>
    <n v="1"/>
    <n v="1804"/>
    <n v="2"/>
    <x v="1"/>
    <n v="90"/>
    <n v="3"/>
    <x v="0"/>
    <s v="Manufacturing Director"/>
    <n v="4"/>
    <s v="Divorced"/>
    <x v="1194"/>
    <n v="24442"/>
    <n v="2"/>
    <s v="Y"/>
    <x v="1"/>
    <n v="14"/>
    <n v="3"/>
    <n v="3"/>
    <x v="0"/>
    <n v="1"/>
    <n v="15"/>
    <n v="6"/>
    <n v="3"/>
    <n v="7"/>
    <n v="7"/>
    <x v="1"/>
    <n v="7"/>
  </r>
  <r>
    <n v="38"/>
    <x v="1"/>
    <x v="2"/>
    <n v="1336"/>
    <x v="2"/>
    <n v="2"/>
    <n v="3"/>
    <x v="5"/>
    <n v="1"/>
    <n v="1805"/>
    <n v="1"/>
    <x v="1"/>
    <n v="100"/>
    <n v="3"/>
    <x v="1"/>
    <s v="Human Resources"/>
    <n v="2"/>
    <s v="Divorced"/>
    <x v="1195"/>
    <n v="7129"/>
    <n v="5"/>
    <s v="Y"/>
    <x v="1"/>
    <n v="13"/>
    <n v="3"/>
    <n v="4"/>
    <x v="0"/>
    <n v="3"/>
    <n v="13"/>
    <n v="3"/>
    <n v="3"/>
    <n v="11"/>
    <n v="10"/>
    <x v="2"/>
    <n v="8"/>
  </r>
  <r>
    <n v="34"/>
    <x v="0"/>
    <x v="1"/>
    <n v="234"/>
    <x v="1"/>
    <n v="9"/>
    <n v="4"/>
    <x v="0"/>
    <n v="1"/>
    <n v="1807"/>
    <n v="4"/>
    <x v="1"/>
    <n v="93"/>
    <n v="3"/>
    <x v="0"/>
    <s v="Laboratory Technician"/>
    <n v="1"/>
    <s v="Married"/>
    <x v="800"/>
    <n v="6208"/>
    <n v="4"/>
    <s v="Y"/>
    <x v="1"/>
    <n v="17"/>
    <n v="3"/>
    <n v="3"/>
    <x v="0"/>
    <n v="1"/>
    <n v="11"/>
    <n v="3"/>
    <n v="2"/>
    <n v="7"/>
    <n v="1"/>
    <x v="0"/>
    <n v="7"/>
  </r>
  <r>
    <n v="37"/>
    <x v="0"/>
    <x v="0"/>
    <n v="370"/>
    <x v="1"/>
    <n v="10"/>
    <n v="4"/>
    <x v="2"/>
    <n v="1"/>
    <n v="1809"/>
    <n v="4"/>
    <x v="1"/>
    <n v="58"/>
    <n v="3"/>
    <x v="0"/>
    <s v="Manufacturing Director"/>
    <n v="1"/>
    <s v="Single"/>
    <x v="1196"/>
    <n v="4992"/>
    <n v="1"/>
    <s v="Y"/>
    <x v="1"/>
    <n v="15"/>
    <n v="3"/>
    <n v="2"/>
    <x v="0"/>
    <n v="0"/>
    <n v="10"/>
    <n v="4"/>
    <n v="1"/>
    <n v="10"/>
    <n v="3"/>
    <x v="0"/>
    <n v="8"/>
  </r>
  <r>
    <n v="39"/>
    <x v="1"/>
    <x v="1"/>
    <n v="766"/>
    <x v="0"/>
    <n v="20"/>
    <n v="3"/>
    <x v="0"/>
    <n v="1"/>
    <n v="1812"/>
    <n v="3"/>
    <x v="1"/>
    <n v="83"/>
    <n v="3"/>
    <x v="0"/>
    <s v="Sales Executive"/>
    <n v="4"/>
    <s v="Divorced"/>
    <x v="1197"/>
    <n v="19188"/>
    <n v="2"/>
    <s v="Y"/>
    <x v="1"/>
    <n v="18"/>
    <n v="3"/>
    <n v="4"/>
    <x v="0"/>
    <n v="1"/>
    <n v="7"/>
    <n v="6"/>
    <n v="3"/>
    <n v="2"/>
    <n v="1"/>
    <x v="3"/>
    <n v="2"/>
  </r>
  <r>
    <n v="43"/>
    <x v="1"/>
    <x v="2"/>
    <n v="343"/>
    <x v="1"/>
    <n v="9"/>
    <n v="3"/>
    <x v="0"/>
    <n v="1"/>
    <n v="1813"/>
    <n v="1"/>
    <x v="1"/>
    <n v="52"/>
    <n v="3"/>
    <x v="1"/>
    <s v="Research Scientist"/>
    <n v="3"/>
    <s v="Single"/>
    <x v="1198"/>
    <n v="24978"/>
    <n v="4"/>
    <s v="Y"/>
    <x v="1"/>
    <n v="13"/>
    <n v="3"/>
    <n v="3"/>
    <x v="0"/>
    <n v="0"/>
    <n v="7"/>
    <n v="2"/>
    <n v="2"/>
    <n v="3"/>
    <n v="2"/>
    <x v="1"/>
    <n v="2"/>
  </r>
  <r>
    <n v="41"/>
    <x v="1"/>
    <x v="0"/>
    <n v="447"/>
    <x v="1"/>
    <n v="5"/>
    <n v="3"/>
    <x v="0"/>
    <n v="1"/>
    <n v="1814"/>
    <n v="2"/>
    <x v="1"/>
    <n v="85"/>
    <n v="4"/>
    <x v="0"/>
    <s v="Healthcare Representative"/>
    <n v="2"/>
    <s v="Single"/>
    <x v="1199"/>
    <n v="15530"/>
    <n v="3"/>
    <s v="Y"/>
    <x v="1"/>
    <n v="12"/>
    <n v="3"/>
    <n v="1"/>
    <x v="0"/>
    <n v="0"/>
    <n v="11"/>
    <n v="3"/>
    <n v="1"/>
    <n v="3"/>
    <n v="2"/>
    <x v="1"/>
    <n v="2"/>
  </r>
  <r>
    <n v="41"/>
    <x v="1"/>
    <x v="0"/>
    <n v="796"/>
    <x v="0"/>
    <n v="4"/>
    <n v="1"/>
    <x v="3"/>
    <n v="1"/>
    <n v="1815"/>
    <n v="3"/>
    <x v="0"/>
    <n v="81"/>
    <n v="3"/>
    <x v="2"/>
    <s v="Sales Executive"/>
    <n v="3"/>
    <s v="Divorced"/>
    <x v="1200"/>
    <n v="26458"/>
    <n v="0"/>
    <s v="Y"/>
    <x v="0"/>
    <n v="13"/>
    <n v="3"/>
    <n v="4"/>
    <x v="0"/>
    <n v="1"/>
    <n v="23"/>
    <n v="3"/>
    <n v="4"/>
    <n v="22"/>
    <n v="14"/>
    <x v="11"/>
    <n v="5"/>
  </r>
  <r>
    <n v="30"/>
    <x v="1"/>
    <x v="0"/>
    <n v="1092"/>
    <x v="1"/>
    <n v="10"/>
    <n v="3"/>
    <x v="2"/>
    <n v="1"/>
    <n v="1816"/>
    <n v="1"/>
    <x v="0"/>
    <n v="64"/>
    <n v="3"/>
    <x v="2"/>
    <s v="Manufacturing Director"/>
    <n v="3"/>
    <s v="Single"/>
    <x v="1201"/>
    <n v="2739"/>
    <n v="9"/>
    <s v="Y"/>
    <x v="1"/>
    <n v="14"/>
    <n v="3"/>
    <n v="2"/>
    <x v="0"/>
    <n v="0"/>
    <n v="9"/>
    <n v="3"/>
    <n v="3"/>
    <n v="7"/>
    <n v="7"/>
    <x v="0"/>
    <n v="2"/>
  </r>
  <r>
    <n v="26"/>
    <x v="0"/>
    <x v="0"/>
    <n v="920"/>
    <x v="2"/>
    <n v="20"/>
    <n v="2"/>
    <x v="2"/>
    <n v="1"/>
    <n v="1818"/>
    <n v="4"/>
    <x v="0"/>
    <n v="69"/>
    <n v="3"/>
    <x v="1"/>
    <s v="Human Resources"/>
    <n v="2"/>
    <s v="Married"/>
    <x v="1202"/>
    <n v="6889"/>
    <n v="0"/>
    <s v="Y"/>
    <x v="0"/>
    <n v="11"/>
    <n v="3"/>
    <n v="3"/>
    <x v="0"/>
    <n v="0"/>
    <n v="6"/>
    <n v="3"/>
    <n v="3"/>
    <n v="5"/>
    <n v="1"/>
    <x v="1"/>
    <n v="4"/>
  </r>
  <r>
    <n v="46"/>
    <x v="0"/>
    <x v="0"/>
    <n v="261"/>
    <x v="1"/>
    <n v="21"/>
    <n v="2"/>
    <x v="2"/>
    <n v="1"/>
    <n v="1821"/>
    <n v="4"/>
    <x v="0"/>
    <n v="66"/>
    <n v="3"/>
    <x v="0"/>
    <s v="Healthcare Representative"/>
    <n v="2"/>
    <s v="Married"/>
    <x v="1203"/>
    <n v="10842"/>
    <n v="4"/>
    <s v="Y"/>
    <x v="1"/>
    <n v="22"/>
    <n v="4"/>
    <n v="4"/>
    <x v="0"/>
    <n v="1"/>
    <n v="13"/>
    <n v="2"/>
    <n v="4"/>
    <n v="9"/>
    <n v="7"/>
    <x v="2"/>
    <n v="7"/>
  </r>
  <r>
    <n v="40"/>
    <x v="1"/>
    <x v="0"/>
    <n v="1194"/>
    <x v="1"/>
    <n v="1"/>
    <n v="3"/>
    <x v="0"/>
    <n v="1"/>
    <n v="1822"/>
    <n v="3"/>
    <x v="0"/>
    <n v="52"/>
    <n v="3"/>
    <x v="0"/>
    <s v="Healthcare Representative"/>
    <n v="4"/>
    <s v="Divorced"/>
    <x v="1204"/>
    <n v="9060"/>
    <n v="4"/>
    <s v="Y"/>
    <x v="1"/>
    <n v="17"/>
    <n v="3"/>
    <n v="4"/>
    <x v="0"/>
    <n v="1"/>
    <n v="12"/>
    <n v="3"/>
    <n v="3"/>
    <n v="5"/>
    <n v="3"/>
    <x v="0"/>
    <n v="3"/>
  </r>
  <r>
    <n v="34"/>
    <x v="1"/>
    <x v="0"/>
    <n v="810"/>
    <x v="0"/>
    <n v="8"/>
    <n v="2"/>
    <x v="4"/>
    <n v="1"/>
    <n v="1823"/>
    <n v="2"/>
    <x v="1"/>
    <n v="92"/>
    <n v="4"/>
    <x v="0"/>
    <s v="Sales Executive"/>
    <n v="3"/>
    <s v="Married"/>
    <x v="1205"/>
    <n v="22128"/>
    <n v="1"/>
    <s v="Y"/>
    <x v="1"/>
    <n v="21"/>
    <n v="4"/>
    <n v="3"/>
    <x v="0"/>
    <n v="2"/>
    <n v="10"/>
    <n v="5"/>
    <n v="3"/>
    <n v="10"/>
    <n v="8"/>
    <x v="5"/>
    <n v="8"/>
  </r>
  <r>
    <n v="58"/>
    <x v="1"/>
    <x v="2"/>
    <n v="350"/>
    <x v="0"/>
    <n v="2"/>
    <n v="3"/>
    <x v="2"/>
    <n v="1"/>
    <n v="1824"/>
    <n v="2"/>
    <x v="1"/>
    <n v="52"/>
    <n v="3"/>
    <x v="3"/>
    <s v="Manager"/>
    <n v="2"/>
    <s v="Divorced"/>
    <x v="1206"/>
    <n v="22577"/>
    <n v="4"/>
    <s v="Y"/>
    <x v="1"/>
    <n v="22"/>
    <n v="4"/>
    <n v="4"/>
    <x v="0"/>
    <n v="1"/>
    <n v="37"/>
    <n v="0"/>
    <n v="2"/>
    <n v="16"/>
    <n v="9"/>
    <x v="15"/>
    <n v="14"/>
  </r>
  <r>
    <n v="35"/>
    <x v="1"/>
    <x v="0"/>
    <n v="185"/>
    <x v="1"/>
    <n v="23"/>
    <n v="4"/>
    <x v="2"/>
    <n v="1"/>
    <n v="1826"/>
    <n v="2"/>
    <x v="1"/>
    <n v="91"/>
    <n v="1"/>
    <x v="1"/>
    <s v="Laboratory Technician"/>
    <n v="3"/>
    <s v="Married"/>
    <x v="1207"/>
    <n v="9696"/>
    <n v="0"/>
    <s v="Y"/>
    <x v="1"/>
    <n v="16"/>
    <n v="3"/>
    <n v="2"/>
    <x v="0"/>
    <n v="1"/>
    <n v="6"/>
    <n v="2"/>
    <n v="4"/>
    <n v="5"/>
    <n v="4"/>
    <x v="0"/>
    <n v="3"/>
  </r>
  <r>
    <n v="47"/>
    <x v="1"/>
    <x v="0"/>
    <n v="1001"/>
    <x v="1"/>
    <n v="4"/>
    <n v="3"/>
    <x v="0"/>
    <n v="1"/>
    <n v="1827"/>
    <n v="3"/>
    <x v="0"/>
    <n v="92"/>
    <n v="2"/>
    <x v="2"/>
    <s v="Manufacturing Director"/>
    <n v="2"/>
    <s v="Divorced"/>
    <x v="1208"/>
    <n v="19271"/>
    <n v="8"/>
    <s v="Y"/>
    <x v="0"/>
    <n v="12"/>
    <n v="3"/>
    <n v="3"/>
    <x v="0"/>
    <n v="1"/>
    <n v="28"/>
    <n v="4"/>
    <n v="3"/>
    <n v="22"/>
    <n v="11"/>
    <x v="15"/>
    <n v="10"/>
  </r>
  <r>
    <n v="40"/>
    <x v="1"/>
    <x v="0"/>
    <n v="750"/>
    <x v="1"/>
    <n v="12"/>
    <n v="3"/>
    <x v="0"/>
    <n v="1"/>
    <n v="1829"/>
    <n v="2"/>
    <x v="0"/>
    <n v="47"/>
    <n v="3"/>
    <x v="0"/>
    <s v="Healthcare Representative"/>
    <n v="1"/>
    <s v="Divorced"/>
    <x v="1209"/>
    <n v="10748"/>
    <n v="2"/>
    <s v="Y"/>
    <x v="1"/>
    <n v="12"/>
    <n v="3"/>
    <n v="2"/>
    <x v="0"/>
    <n v="1"/>
    <n v="15"/>
    <n v="3"/>
    <n v="3"/>
    <n v="7"/>
    <n v="4"/>
    <x v="4"/>
    <n v="7"/>
  </r>
  <r>
    <n v="54"/>
    <x v="1"/>
    <x v="0"/>
    <n v="431"/>
    <x v="1"/>
    <n v="7"/>
    <n v="4"/>
    <x v="2"/>
    <n v="1"/>
    <n v="1830"/>
    <n v="4"/>
    <x v="0"/>
    <n v="68"/>
    <n v="3"/>
    <x v="0"/>
    <s v="Research Scientist"/>
    <n v="4"/>
    <s v="Married"/>
    <x v="1210"/>
    <n v="15696"/>
    <n v="4"/>
    <s v="Y"/>
    <x v="1"/>
    <n v="15"/>
    <n v="3"/>
    <n v="2"/>
    <x v="0"/>
    <n v="1"/>
    <n v="14"/>
    <n v="2"/>
    <n v="2"/>
    <n v="7"/>
    <n v="1"/>
    <x v="1"/>
    <n v="7"/>
  </r>
  <r>
    <n v="31"/>
    <x v="1"/>
    <x v="1"/>
    <n v="1125"/>
    <x v="0"/>
    <n v="7"/>
    <n v="4"/>
    <x v="3"/>
    <n v="1"/>
    <n v="1833"/>
    <n v="1"/>
    <x v="0"/>
    <n v="68"/>
    <n v="3"/>
    <x v="2"/>
    <s v="Sales Executive"/>
    <n v="1"/>
    <s v="Married"/>
    <x v="1211"/>
    <n v="8277"/>
    <n v="2"/>
    <s v="Y"/>
    <x v="1"/>
    <n v="14"/>
    <n v="3"/>
    <n v="4"/>
    <x v="0"/>
    <n v="2"/>
    <n v="9"/>
    <n v="3"/>
    <n v="3"/>
    <n v="3"/>
    <n v="2"/>
    <x v="3"/>
    <n v="2"/>
  </r>
  <r>
    <n v="28"/>
    <x v="1"/>
    <x v="0"/>
    <n v="1217"/>
    <x v="1"/>
    <n v="1"/>
    <n v="3"/>
    <x v="2"/>
    <n v="1"/>
    <n v="1834"/>
    <n v="3"/>
    <x v="0"/>
    <n v="67"/>
    <n v="3"/>
    <x v="1"/>
    <s v="Research Scientist"/>
    <n v="1"/>
    <s v="Married"/>
    <x v="1212"/>
    <n v="12719"/>
    <n v="1"/>
    <s v="Y"/>
    <x v="1"/>
    <n v="25"/>
    <n v="4"/>
    <n v="3"/>
    <x v="0"/>
    <n v="1"/>
    <n v="3"/>
    <n v="3"/>
    <n v="3"/>
    <n v="3"/>
    <n v="2"/>
    <x v="1"/>
    <n v="2"/>
  </r>
  <r>
    <n v="38"/>
    <x v="1"/>
    <x v="0"/>
    <n v="723"/>
    <x v="0"/>
    <n v="2"/>
    <n v="4"/>
    <x v="3"/>
    <n v="1"/>
    <n v="1835"/>
    <n v="2"/>
    <x v="0"/>
    <n v="77"/>
    <n v="1"/>
    <x v="0"/>
    <s v="Sales Representative"/>
    <n v="4"/>
    <s v="Married"/>
    <x v="517"/>
    <n v="4244"/>
    <n v="2"/>
    <s v="Y"/>
    <x v="0"/>
    <n v="20"/>
    <n v="4"/>
    <n v="1"/>
    <x v="0"/>
    <n v="2"/>
    <n v="20"/>
    <n v="4"/>
    <n v="2"/>
    <n v="4"/>
    <n v="2"/>
    <x v="0"/>
    <n v="3"/>
  </r>
  <r>
    <n v="26"/>
    <x v="1"/>
    <x v="0"/>
    <n v="572"/>
    <x v="0"/>
    <n v="10"/>
    <n v="3"/>
    <x v="2"/>
    <n v="1"/>
    <n v="1836"/>
    <n v="3"/>
    <x v="1"/>
    <n v="46"/>
    <n v="3"/>
    <x v="0"/>
    <s v="Sales Executive"/>
    <n v="4"/>
    <s v="Single"/>
    <x v="1213"/>
    <n v="9125"/>
    <n v="1"/>
    <s v="Y"/>
    <x v="1"/>
    <n v="13"/>
    <n v="3"/>
    <n v="1"/>
    <x v="0"/>
    <n v="0"/>
    <n v="5"/>
    <n v="4"/>
    <n v="3"/>
    <n v="5"/>
    <n v="3"/>
    <x v="1"/>
    <n v="2"/>
  </r>
  <r>
    <n v="58"/>
    <x v="1"/>
    <x v="1"/>
    <n v="1216"/>
    <x v="1"/>
    <n v="15"/>
    <n v="4"/>
    <x v="0"/>
    <n v="1"/>
    <n v="1837"/>
    <n v="1"/>
    <x v="1"/>
    <n v="87"/>
    <n v="3"/>
    <x v="3"/>
    <s v="Research Director"/>
    <n v="3"/>
    <s v="Married"/>
    <x v="1214"/>
    <n v="21624"/>
    <n v="2"/>
    <s v="Y"/>
    <x v="0"/>
    <n v="14"/>
    <n v="3"/>
    <n v="2"/>
    <x v="0"/>
    <n v="0"/>
    <n v="23"/>
    <n v="3"/>
    <n v="3"/>
    <n v="2"/>
    <n v="2"/>
    <x v="3"/>
    <n v="2"/>
  </r>
  <r>
    <n v="18"/>
    <x v="1"/>
    <x v="2"/>
    <n v="1431"/>
    <x v="1"/>
    <n v="14"/>
    <n v="3"/>
    <x v="2"/>
    <n v="1"/>
    <n v="1839"/>
    <n v="2"/>
    <x v="0"/>
    <n v="33"/>
    <n v="3"/>
    <x v="1"/>
    <s v="Research Scientist"/>
    <n v="3"/>
    <s v="Single"/>
    <x v="1215"/>
    <n v="8018"/>
    <n v="1"/>
    <s v="Y"/>
    <x v="1"/>
    <n v="16"/>
    <n v="3"/>
    <n v="3"/>
    <x v="0"/>
    <n v="0"/>
    <n v="0"/>
    <n v="4"/>
    <n v="1"/>
    <n v="0"/>
    <n v="0"/>
    <x v="0"/>
    <n v="0"/>
  </r>
  <r>
    <n v="31"/>
    <x v="0"/>
    <x v="0"/>
    <n v="359"/>
    <x v="2"/>
    <n v="18"/>
    <n v="5"/>
    <x v="5"/>
    <n v="1"/>
    <n v="1842"/>
    <n v="4"/>
    <x v="1"/>
    <n v="89"/>
    <n v="4"/>
    <x v="1"/>
    <s v="Human Resources"/>
    <n v="1"/>
    <s v="Married"/>
    <x v="98"/>
    <n v="21495"/>
    <n v="0"/>
    <s v="Y"/>
    <x v="1"/>
    <n v="17"/>
    <n v="3"/>
    <n v="3"/>
    <x v="0"/>
    <n v="0"/>
    <n v="2"/>
    <n v="4"/>
    <n v="3"/>
    <n v="1"/>
    <n v="0"/>
    <x v="0"/>
    <n v="0"/>
  </r>
  <r>
    <n v="29"/>
    <x v="0"/>
    <x v="0"/>
    <n v="350"/>
    <x v="2"/>
    <n v="13"/>
    <n v="3"/>
    <x v="5"/>
    <n v="1"/>
    <n v="1844"/>
    <n v="1"/>
    <x v="1"/>
    <n v="56"/>
    <n v="2"/>
    <x v="1"/>
    <s v="Human Resources"/>
    <n v="1"/>
    <s v="Divorced"/>
    <x v="1216"/>
    <n v="3157"/>
    <n v="4"/>
    <s v="Y"/>
    <x v="0"/>
    <n v="15"/>
    <n v="3"/>
    <n v="4"/>
    <x v="0"/>
    <n v="3"/>
    <n v="4"/>
    <n v="3"/>
    <n v="3"/>
    <n v="2"/>
    <n v="2"/>
    <x v="3"/>
    <n v="0"/>
  </r>
  <r>
    <n v="45"/>
    <x v="1"/>
    <x v="2"/>
    <n v="589"/>
    <x v="0"/>
    <n v="2"/>
    <n v="4"/>
    <x v="0"/>
    <n v="1"/>
    <n v="1845"/>
    <n v="3"/>
    <x v="0"/>
    <n v="67"/>
    <n v="3"/>
    <x v="0"/>
    <s v="Sales Executive"/>
    <n v="3"/>
    <s v="Married"/>
    <x v="1217"/>
    <n v="19665"/>
    <n v="4"/>
    <s v="Y"/>
    <x v="1"/>
    <n v="22"/>
    <n v="4"/>
    <n v="2"/>
    <x v="0"/>
    <n v="2"/>
    <n v="10"/>
    <n v="3"/>
    <n v="4"/>
    <n v="8"/>
    <n v="7"/>
    <x v="8"/>
    <n v="7"/>
  </r>
  <r>
    <n v="36"/>
    <x v="1"/>
    <x v="0"/>
    <n v="430"/>
    <x v="1"/>
    <n v="2"/>
    <n v="4"/>
    <x v="1"/>
    <n v="1"/>
    <n v="1847"/>
    <n v="4"/>
    <x v="0"/>
    <n v="73"/>
    <n v="3"/>
    <x v="0"/>
    <s v="Research Scientist"/>
    <n v="2"/>
    <s v="Married"/>
    <x v="1218"/>
    <n v="19573"/>
    <n v="4"/>
    <s v="Y"/>
    <x v="0"/>
    <n v="22"/>
    <n v="4"/>
    <n v="4"/>
    <x v="0"/>
    <n v="1"/>
    <n v="15"/>
    <n v="2"/>
    <n v="3"/>
    <n v="1"/>
    <n v="0"/>
    <x v="0"/>
    <n v="0"/>
  </r>
  <r>
    <n v="43"/>
    <x v="1"/>
    <x v="1"/>
    <n v="1422"/>
    <x v="0"/>
    <n v="2"/>
    <n v="4"/>
    <x v="0"/>
    <n v="1"/>
    <n v="1849"/>
    <n v="1"/>
    <x v="1"/>
    <n v="92"/>
    <n v="3"/>
    <x v="0"/>
    <s v="Sales Executive"/>
    <n v="4"/>
    <s v="Married"/>
    <x v="1219"/>
    <n v="19246"/>
    <n v="1"/>
    <s v="Y"/>
    <x v="1"/>
    <n v="20"/>
    <n v="4"/>
    <n v="3"/>
    <x v="0"/>
    <n v="1"/>
    <n v="7"/>
    <n v="5"/>
    <n v="3"/>
    <n v="7"/>
    <n v="7"/>
    <x v="4"/>
    <n v="7"/>
  </r>
  <r>
    <n v="27"/>
    <x v="1"/>
    <x v="1"/>
    <n v="1297"/>
    <x v="1"/>
    <n v="5"/>
    <n v="2"/>
    <x v="0"/>
    <n v="1"/>
    <n v="1850"/>
    <n v="4"/>
    <x v="0"/>
    <n v="53"/>
    <n v="3"/>
    <x v="1"/>
    <s v="Laboratory Technician"/>
    <n v="4"/>
    <s v="Single"/>
    <x v="1220"/>
    <n v="19826"/>
    <n v="0"/>
    <s v="Y"/>
    <x v="0"/>
    <n v="14"/>
    <n v="3"/>
    <n v="3"/>
    <x v="0"/>
    <n v="0"/>
    <n v="6"/>
    <n v="3"/>
    <n v="2"/>
    <n v="5"/>
    <n v="4"/>
    <x v="0"/>
    <n v="2"/>
  </r>
  <r>
    <n v="29"/>
    <x v="1"/>
    <x v="1"/>
    <n v="574"/>
    <x v="1"/>
    <n v="20"/>
    <n v="1"/>
    <x v="2"/>
    <n v="1"/>
    <n v="1852"/>
    <n v="4"/>
    <x v="1"/>
    <n v="40"/>
    <n v="3"/>
    <x v="1"/>
    <s v="Laboratory Technician"/>
    <n v="4"/>
    <s v="Married"/>
    <x v="1221"/>
    <n v="7003"/>
    <n v="1"/>
    <s v="Y"/>
    <x v="1"/>
    <n v="13"/>
    <n v="3"/>
    <n v="2"/>
    <x v="0"/>
    <n v="0"/>
    <n v="11"/>
    <n v="3"/>
    <n v="4"/>
    <n v="11"/>
    <n v="8"/>
    <x v="2"/>
    <n v="10"/>
  </r>
  <r>
    <n v="32"/>
    <x v="1"/>
    <x v="1"/>
    <n v="1318"/>
    <x v="0"/>
    <n v="10"/>
    <n v="4"/>
    <x v="3"/>
    <n v="1"/>
    <n v="1853"/>
    <n v="4"/>
    <x v="1"/>
    <n v="79"/>
    <n v="3"/>
    <x v="0"/>
    <s v="Sales Executive"/>
    <n v="4"/>
    <s v="Single"/>
    <x v="1222"/>
    <n v="26075"/>
    <n v="8"/>
    <s v="Y"/>
    <x v="1"/>
    <n v="13"/>
    <n v="3"/>
    <n v="3"/>
    <x v="0"/>
    <n v="0"/>
    <n v="4"/>
    <n v="2"/>
    <n v="4"/>
    <n v="0"/>
    <n v="0"/>
    <x v="0"/>
    <n v="0"/>
  </r>
  <r>
    <n v="42"/>
    <x v="1"/>
    <x v="2"/>
    <n v="355"/>
    <x v="1"/>
    <n v="10"/>
    <n v="4"/>
    <x v="4"/>
    <n v="1"/>
    <n v="1854"/>
    <n v="3"/>
    <x v="1"/>
    <n v="38"/>
    <n v="3"/>
    <x v="1"/>
    <s v="Research Scientist"/>
    <n v="3"/>
    <s v="Married"/>
    <x v="808"/>
    <n v="6161"/>
    <n v="3"/>
    <s v="Y"/>
    <x v="1"/>
    <n v="22"/>
    <n v="4"/>
    <n v="2"/>
    <x v="0"/>
    <n v="2"/>
    <n v="10"/>
    <n v="1"/>
    <n v="2"/>
    <n v="6"/>
    <n v="3"/>
    <x v="2"/>
    <n v="3"/>
  </r>
  <r>
    <n v="47"/>
    <x v="1"/>
    <x v="0"/>
    <n v="207"/>
    <x v="1"/>
    <n v="9"/>
    <n v="4"/>
    <x v="0"/>
    <n v="1"/>
    <n v="1856"/>
    <n v="2"/>
    <x v="0"/>
    <n v="64"/>
    <n v="3"/>
    <x v="1"/>
    <s v="Laboratory Technician"/>
    <n v="3"/>
    <s v="Single"/>
    <x v="1223"/>
    <n v="5411"/>
    <n v="4"/>
    <s v="Y"/>
    <x v="1"/>
    <n v="12"/>
    <n v="3"/>
    <n v="3"/>
    <x v="0"/>
    <n v="0"/>
    <n v="7"/>
    <n v="2"/>
    <n v="3"/>
    <n v="2"/>
    <n v="2"/>
    <x v="3"/>
    <n v="0"/>
  </r>
  <r>
    <n v="46"/>
    <x v="1"/>
    <x v="0"/>
    <n v="706"/>
    <x v="1"/>
    <n v="2"/>
    <n v="2"/>
    <x v="0"/>
    <n v="1"/>
    <n v="1857"/>
    <n v="4"/>
    <x v="1"/>
    <n v="82"/>
    <n v="3"/>
    <x v="2"/>
    <s v="Manufacturing Director"/>
    <n v="4"/>
    <s v="Divorced"/>
    <x v="1224"/>
    <n v="19989"/>
    <n v="3"/>
    <s v="Y"/>
    <x v="1"/>
    <n v="14"/>
    <n v="3"/>
    <n v="3"/>
    <x v="0"/>
    <n v="1"/>
    <n v="12"/>
    <n v="4"/>
    <n v="2"/>
    <n v="9"/>
    <n v="8"/>
    <x v="5"/>
    <n v="7"/>
  </r>
  <r>
    <n v="28"/>
    <x v="1"/>
    <x v="2"/>
    <n v="280"/>
    <x v="2"/>
    <n v="1"/>
    <n v="2"/>
    <x v="0"/>
    <n v="1"/>
    <n v="1858"/>
    <n v="3"/>
    <x v="1"/>
    <n v="43"/>
    <n v="3"/>
    <x v="1"/>
    <s v="Human Resources"/>
    <n v="4"/>
    <s v="Divorced"/>
    <x v="1225"/>
    <n v="10494"/>
    <n v="1"/>
    <s v="Y"/>
    <x v="1"/>
    <n v="15"/>
    <n v="3"/>
    <n v="2"/>
    <x v="0"/>
    <n v="1"/>
    <n v="3"/>
    <n v="2"/>
    <n v="3"/>
    <n v="3"/>
    <n v="2"/>
    <x v="3"/>
    <n v="2"/>
  </r>
  <r>
    <n v="29"/>
    <x v="1"/>
    <x v="0"/>
    <n v="726"/>
    <x v="1"/>
    <n v="29"/>
    <n v="1"/>
    <x v="0"/>
    <n v="1"/>
    <n v="1859"/>
    <n v="4"/>
    <x v="1"/>
    <n v="93"/>
    <n v="1"/>
    <x v="0"/>
    <s v="Healthcare Representative"/>
    <n v="3"/>
    <s v="Divorced"/>
    <x v="1226"/>
    <n v="21143"/>
    <n v="8"/>
    <s v="Y"/>
    <x v="1"/>
    <n v="17"/>
    <n v="3"/>
    <n v="4"/>
    <x v="0"/>
    <n v="2"/>
    <n v="11"/>
    <n v="3"/>
    <n v="3"/>
    <n v="7"/>
    <n v="0"/>
    <x v="1"/>
    <n v="6"/>
  </r>
  <r>
    <n v="42"/>
    <x v="1"/>
    <x v="0"/>
    <n v="1142"/>
    <x v="1"/>
    <n v="8"/>
    <n v="3"/>
    <x v="0"/>
    <n v="1"/>
    <n v="1860"/>
    <n v="4"/>
    <x v="1"/>
    <n v="81"/>
    <n v="3"/>
    <x v="1"/>
    <s v="Laboratory Technician"/>
    <n v="3"/>
    <s v="Single"/>
    <x v="1227"/>
    <n v="13624"/>
    <n v="4"/>
    <s v="Y"/>
    <x v="1"/>
    <n v="13"/>
    <n v="3"/>
    <n v="4"/>
    <x v="0"/>
    <n v="0"/>
    <n v="8"/>
    <n v="3"/>
    <n v="3"/>
    <n v="0"/>
    <n v="0"/>
    <x v="0"/>
    <n v="0"/>
  </r>
  <r>
    <n v="32"/>
    <x v="0"/>
    <x v="0"/>
    <n v="414"/>
    <x v="0"/>
    <n v="2"/>
    <n v="4"/>
    <x v="3"/>
    <n v="1"/>
    <n v="1862"/>
    <n v="3"/>
    <x v="1"/>
    <n v="82"/>
    <n v="2"/>
    <x v="0"/>
    <s v="Sales Executive"/>
    <n v="2"/>
    <s v="Single"/>
    <x v="1228"/>
    <n v="26186"/>
    <n v="7"/>
    <s v="Y"/>
    <x v="0"/>
    <n v="12"/>
    <n v="3"/>
    <n v="3"/>
    <x v="0"/>
    <n v="0"/>
    <n v="7"/>
    <n v="3"/>
    <n v="2"/>
    <n v="2"/>
    <n v="2"/>
    <x v="3"/>
    <n v="2"/>
  </r>
  <r>
    <n v="46"/>
    <x v="1"/>
    <x v="0"/>
    <n v="1319"/>
    <x v="0"/>
    <n v="3"/>
    <n v="3"/>
    <x v="4"/>
    <n v="1"/>
    <n v="1863"/>
    <n v="1"/>
    <x v="0"/>
    <n v="45"/>
    <n v="4"/>
    <x v="3"/>
    <s v="Sales Executive"/>
    <n v="1"/>
    <s v="Divorced"/>
    <x v="1229"/>
    <n v="7739"/>
    <n v="2"/>
    <s v="Y"/>
    <x v="1"/>
    <n v="12"/>
    <n v="3"/>
    <n v="4"/>
    <x v="0"/>
    <n v="1"/>
    <n v="25"/>
    <n v="5"/>
    <n v="3"/>
    <n v="19"/>
    <n v="17"/>
    <x v="3"/>
    <n v="8"/>
  </r>
  <r>
    <n v="27"/>
    <x v="1"/>
    <x v="0"/>
    <n v="728"/>
    <x v="0"/>
    <n v="23"/>
    <n v="1"/>
    <x v="2"/>
    <n v="1"/>
    <n v="1864"/>
    <n v="2"/>
    <x v="0"/>
    <n v="36"/>
    <n v="2"/>
    <x v="0"/>
    <s v="Sales Representative"/>
    <n v="3"/>
    <s v="Married"/>
    <x v="1230"/>
    <n v="7018"/>
    <n v="1"/>
    <s v="Y"/>
    <x v="1"/>
    <n v="21"/>
    <n v="4"/>
    <n v="4"/>
    <x v="0"/>
    <n v="1"/>
    <n v="9"/>
    <n v="5"/>
    <n v="3"/>
    <n v="9"/>
    <n v="8"/>
    <x v="8"/>
    <n v="8"/>
  </r>
  <r>
    <n v="29"/>
    <x v="1"/>
    <x v="0"/>
    <n v="352"/>
    <x v="2"/>
    <n v="6"/>
    <n v="1"/>
    <x v="2"/>
    <n v="1"/>
    <n v="1865"/>
    <n v="4"/>
    <x v="1"/>
    <n v="87"/>
    <n v="2"/>
    <x v="1"/>
    <s v="Human Resources"/>
    <n v="2"/>
    <s v="Married"/>
    <x v="1231"/>
    <n v="15434"/>
    <n v="1"/>
    <s v="Y"/>
    <x v="1"/>
    <n v="11"/>
    <n v="3"/>
    <n v="4"/>
    <x v="0"/>
    <n v="0"/>
    <n v="1"/>
    <n v="3"/>
    <n v="3"/>
    <n v="1"/>
    <n v="0"/>
    <x v="0"/>
    <n v="0"/>
  </r>
  <r>
    <n v="43"/>
    <x v="1"/>
    <x v="0"/>
    <n v="823"/>
    <x v="1"/>
    <n v="6"/>
    <n v="3"/>
    <x v="2"/>
    <n v="1"/>
    <n v="1866"/>
    <n v="1"/>
    <x v="0"/>
    <n v="81"/>
    <n v="2"/>
    <x v="4"/>
    <s v="Manager"/>
    <n v="3"/>
    <s v="Married"/>
    <x v="1232"/>
    <n v="22539"/>
    <n v="7"/>
    <s v="Y"/>
    <x v="1"/>
    <n v="13"/>
    <n v="3"/>
    <n v="4"/>
    <x v="0"/>
    <n v="0"/>
    <n v="21"/>
    <n v="2"/>
    <n v="3"/>
    <n v="16"/>
    <n v="12"/>
    <x v="7"/>
    <n v="14"/>
  </r>
  <r>
    <n v="48"/>
    <x v="1"/>
    <x v="0"/>
    <n v="1224"/>
    <x v="1"/>
    <n v="10"/>
    <n v="3"/>
    <x v="0"/>
    <n v="1"/>
    <n v="1867"/>
    <n v="4"/>
    <x v="1"/>
    <n v="91"/>
    <n v="2"/>
    <x v="4"/>
    <s v="Research Director"/>
    <n v="2"/>
    <s v="Married"/>
    <x v="1233"/>
    <n v="13583"/>
    <n v="4"/>
    <s v="Y"/>
    <x v="1"/>
    <n v="12"/>
    <n v="3"/>
    <n v="4"/>
    <x v="0"/>
    <n v="0"/>
    <n v="29"/>
    <n v="3"/>
    <n v="3"/>
    <n v="22"/>
    <n v="10"/>
    <x v="12"/>
    <n v="9"/>
  </r>
  <r>
    <n v="29"/>
    <x v="0"/>
    <x v="1"/>
    <n v="459"/>
    <x v="1"/>
    <n v="24"/>
    <n v="2"/>
    <x v="0"/>
    <n v="1"/>
    <n v="1868"/>
    <n v="4"/>
    <x v="1"/>
    <n v="73"/>
    <n v="2"/>
    <x v="1"/>
    <s v="Research Scientist"/>
    <n v="4"/>
    <s v="Single"/>
    <x v="1234"/>
    <n v="14753"/>
    <n v="1"/>
    <s v="Y"/>
    <x v="0"/>
    <n v="24"/>
    <n v="4"/>
    <n v="2"/>
    <x v="0"/>
    <n v="0"/>
    <n v="1"/>
    <n v="3"/>
    <n v="2"/>
    <n v="1"/>
    <n v="0"/>
    <x v="1"/>
    <n v="0"/>
  </r>
  <r>
    <n v="46"/>
    <x v="0"/>
    <x v="0"/>
    <n v="1254"/>
    <x v="0"/>
    <n v="10"/>
    <n v="3"/>
    <x v="0"/>
    <n v="1"/>
    <n v="1869"/>
    <n v="3"/>
    <x v="0"/>
    <n v="64"/>
    <n v="3"/>
    <x v="2"/>
    <s v="Sales Executive"/>
    <n v="2"/>
    <s v="Married"/>
    <x v="1235"/>
    <n v="14011"/>
    <n v="5"/>
    <s v="Y"/>
    <x v="1"/>
    <n v="21"/>
    <n v="4"/>
    <n v="3"/>
    <x v="0"/>
    <n v="3"/>
    <n v="14"/>
    <n v="2"/>
    <n v="3"/>
    <n v="8"/>
    <n v="7"/>
    <x v="0"/>
    <n v="7"/>
  </r>
  <r>
    <n v="27"/>
    <x v="1"/>
    <x v="1"/>
    <n v="1131"/>
    <x v="1"/>
    <n v="15"/>
    <n v="3"/>
    <x v="0"/>
    <n v="1"/>
    <n v="1870"/>
    <n v="4"/>
    <x v="0"/>
    <n v="77"/>
    <n v="2"/>
    <x v="1"/>
    <s v="Research Scientist"/>
    <n v="1"/>
    <s v="Married"/>
    <x v="1236"/>
    <n v="23844"/>
    <n v="0"/>
    <s v="Y"/>
    <x v="1"/>
    <n v="19"/>
    <n v="3"/>
    <n v="4"/>
    <x v="0"/>
    <n v="1"/>
    <n v="8"/>
    <n v="2"/>
    <n v="2"/>
    <n v="7"/>
    <n v="6"/>
    <x v="4"/>
    <n v="3"/>
  </r>
  <r>
    <n v="39"/>
    <x v="1"/>
    <x v="0"/>
    <n v="835"/>
    <x v="1"/>
    <n v="19"/>
    <n v="4"/>
    <x v="1"/>
    <n v="1"/>
    <n v="1871"/>
    <n v="4"/>
    <x v="1"/>
    <n v="41"/>
    <n v="3"/>
    <x v="0"/>
    <s v="Research Scientist"/>
    <n v="4"/>
    <s v="Divorced"/>
    <x v="1237"/>
    <n v="5141"/>
    <n v="8"/>
    <s v="Y"/>
    <x v="1"/>
    <n v="14"/>
    <n v="3"/>
    <n v="2"/>
    <x v="0"/>
    <n v="3"/>
    <n v="7"/>
    <n v="2"/>
    <n v="3"/>
    <n v="2"/>
    <n v="2"/>
    <x v="3"/>
    <n v="2"/>
  </r>
  <r>
    <n v="55"/>
    <x v="1"/>
    <x v="0"/>
    <n v="836"/>
    <x v="1"/>
    <n v="2"/>
    <n v="4"/>
    <x v="4"/>
    <n v="1"/>
    <n v="1873"/>
    <n v="2"/>
    <x v="1"/>
    <n v="98"/>
    <n v="2"/>
    <x v="1"/>
    <s v="Research Scientist"/>
    <n v="4"/>
    <s v="Married"/>
    <x v="1238"/>
    <n v="7975"/>
    <n v="8"/>
    <s v="Y"/>
    <x v="1"/>
    <n v="20"/>
    <n v="4"/>
    <n v="2"/>
    <x v="0"/>
    <n v="1"/>
    <n v="19"/>
    <n v="2"/>
    <n v="4"/>
    <n v="5"/>
    <n v="2"/>
    <x v="0"/>
    <n v="4"/>
  </r>
  <r>
    <n v="28"/>
    <x v="1"/>
    <x v="0"/>
    <n v="1172"/>
    <x v="0"/>
    <n v="3"/>
    <n v="3"/>
    <x v="2"/>
    <n v="1"/>
    <n v="1875"/>
    <n v="2"/>
    <x v="0"/>
    <n v="78"/>
    <n v="3"/>
    <x v="1"/>
    <s v="Sales Representative"/>
    <n v="2"/>
    <s v="Married"/>
    <x v="1239"/>
    <n v="3692"/>
    <n v="1"/>
    <s v="Y"/>
    <x v="1"/>
    <n v="19"/>
    <n v="3"/>
    <n v="4"/>
    <x v="0"/>
    <n v="1"/>
    <n v="1"/>
    <n v="3"/>
    <n v="3"/>
    <n v="1"/>
    <n v="0"/>
    <x v="0"/>
    <n v="0"/>
  </r>
  <r>
    <n v="30"/>
    <x v="0"/>
    <x v="0"/>
    <n v="945"/>
    <x v="0"/>
    <n v="9"/>
    <n v="3"/>
    <x v="2"/>
    <n v="1"/>
    <n v="1876"/>
    <n v="2"/>
    <x v="1"/>
    <n v="89"/>
    <n v="3"/>
    <x v="1"/>
    <s v="Sales Representative"/>
    <n v="4"/>
    <s v="Single"/>
    <x v="1240"/>
    <n v="16019"/>
    <n v="1"/>
    <s v="Y"/>
    <x v="1"/>
    <n v="13"/>
    <n v="3"/>
    <n v="3"/>
    <x v="0"/>
    <n v="0"/>
    <n v="1"/>
    <n v="3"/>
    <n v="2"/>
    <n v="1"/>
    <n v="0"/>
    <x v="0"/>
    <n v="0"/>
  </r>
  <r>
    <n v="22"/>
    <x v="0"/>
    <x v="0"/>
    <n v="391"/>
    <x v="1"/>
    <n v="7"/>
    <n v="1"/>
    <x v="0"/>
    <n v="1"/>
    <n v="1878"/>
    <n v="4"/>
    <x v="1"/>
    <n v="75"/>
    <n v="3"/>
    <x v="1"/>
    <s v="Research Scientist"/>
    <n v="2"/>
    <s v="Single"/>
    <x v="1241"/>
    <n v="26092"/>
    <n v="1"/>
    <s v="Y"/>
    <x v="0"/>
    <n v="23"/>
    <n v="4"/>
    <n v="1"/>
    <x v="0"/>
    <n v="0"/>
    <n v="1"/>
    <n v="2"/>
    <n v="3"/>
    <n v="1"/>
    <n v="0"/>
    <x v="0"/>
    <n v="0"/>
  </r>
  <r>
    <n v="36"/>
    <x v="1"/>
    <x v="0"/>
    <n v="1266"/>
    <x v="0"/>
    <n v="10"/>
    <n v="4"/>
    <x v="4"/>
    <n v="1"/>
    <n v="1880"/>
    <n v="2"/>
    <x v="0"/>
    <n v="63"/>
    <n v="2"/>
    <x v="0"/>
    <s v="Sales Executive"/>
    <n v="3"/>
    <s v="Married"/>
    <x v="1242"/>
    <n v="6060"/>
    <n v="1"/>
    <s v="Y"/>
    <x v="0"/>
    <n v="13"/>
    <n v="3"/>
    <n v="1"/>
    <x v="0"/>
    <n v="1"/>
    <n v="10"/>
    <n v="4"/>
    <n v="3"/>
    <n v="10"/>
    <n v="9"/>
    <x v="1"/>
    <n v="7"/>
  </r>
  <r>
    <n v="31"/>
    <x v="1"/>
    <x v="0"/>
    <n v="311"/>
    <x v="1"/>
    <n v="20"/>
    <n v="3"/>
    <x v="0"/>
    <n v="1"/>
    <n v="1881"/>
    <n v="2"/>
    <x v="1"/>
    <n v="89"/>
    <n v="3"/>
    <x v="0"/>
    <s v="Laboratory Technician"/>
    <n v="3"/>
    <s v="Divorced"/>
    <x v="378"/>
    <n v="18624"/>
    <n v="1"/>
    <s v="Y"/>
    <x v="1"/>
    <n v="11"/>
    <n v="3"/>
    <n v="1"/>
    <x v="0"/>
    <n v="1"/>
    <n v="10"/>
    <n v="2"/>
    <n v="3"/>
    <n v="10"/>
    <n v="8"/>
    <x v="0"/>
    <n v="2"/>
  </r>
  <r>
    <n v="34"/>
    <x v="1"/>
    <x v="0"/>
    <n v="1480"/>
    <x v="0"/>
    <n v="4"/>
    <n v="3"/>
    <x v="0"/>
    <n v="1"/>
    <n v="1882"/>
    <n v="3"/>
    <x v="1"/>
    <n v="64"/>
    <n v="3"/>
    <x v="2"/>
    <s v="Sales Executive"/>
    <n v="4"/>
    <s v="Married"/>
    <x v="1243"/>
    <n v="24444"/>
    <n v="2"/>
    <s v="Y"/>
    <x v="0"/>
    <n v="13"/>
    <n v="3"/>
    <n v="4"/>
    <x v="0"/>
    <n v="3"/>
    <n v="9"/>
    <n v="3"/>
    <n v="3"/>
    <n v="5"/>
    <n v="3"/>
    <x v="1"/>
    <n v="0"/>
  </r>
  <r>
    <n v="29"/>
    <x v="1"/>
    <x v="0"/>
    <n v="592"/>
    <x v="1"/>
    <n v="7"/>
    <n v="3"/>
    <x v="0"/>
    <n v="1"/>
    <n v="1883"/>
    <n v="4"/>
    <x v="1"/>
    <n v="59"/>
    <n v="3"/>
    <x v="1"/>
    <s v="Laboratory Technician"/>
    <n v="1"/>
    <s v="Single"/>
    <x v="1244"/>
    <n v="19384"/>
    <n v="3"/>
    <s v="Y"/>
    <x v="1"/>
    <n v="14"/>
    <n v="3"/>
    <n v="2"/>
    <x v="0"/>
    <n v="0"/>
    <n v="11"/>
    <n v="2"/>
    <n v="3"/>
    <n v="3"/>
    <n v="2"/>
    <x v="1"/>
    <n v="2"/>
  </r>
  <r>
    <n v="37"/>
    <x v="1"/>
    <x v="0"/>
    <n v="783"/>
    <x v="1"/>
    <n v="7"/>
    <n v="4"/>
    <x v="2"/>
    <n v="1"/>
    <n v="1885"/>
    <n v="4"/>
    <x v="1"/>
    <n v="78"/>
    <n v="3"/>
    <x v="0"/>
    <s v="Research Scientist"/>
    <n v="1"/>
    <s v="Married"/>
    <x v="948"/>
    <n v="13588"/>
    <n v="5"/>
    <s v="Y"/>
    <x v="0"/>
    <n v="22"/>
    <n v="4"/>
    <n v="3"/>
    <x v="0"/>
    <n v="1"/>
    <n v="16"/>
    <n v="2"/>
    <n v="3"/>
    <n v="5"/>
    <n v="3"/>
    <x v="0"/>
    <n v="4"/>
  </r>
  <r>
    <n v="35"/>
    <x v="1"/>
    <x v="0"/>
    <n v="219"/>
    <x v="1"/>
    <n v="16"/>
    <n v="2"/>
    <x v="1"/>
    <n v="1"/>
    <n v="1886"/>
    <n v="4"/>
    <x v="0"/>
    <n v="44"/>
    <n v="2"/>
    <x v="0"/>
    <s v="Manufacturing Director"/>
    <n v="2"/>
    <s v="Married"/>
    <x v="1245"/>
    <n v="25388"/>
    <n v="0"/>
    <s v="Y"/>
    <x v="0"/>
    <n v="11"/>
    <n v="3"/>
    <n v="4"/>
    <x v="0"/>
    <n v="0"/>
    <n v="4"/>
    <n v="2"/>
    <n v="3"/>
    <n v="3"/>
    <n v="2"/>
    <x v="0"/>
    <n v="2"/>
  </r>
  <r>
    <n v="45"/>
    <x v="1"/>
    <x v="0"/>
    <n v="556"/>
    <x v="1"/>
    <n v="25"/>
    <n v="2"/>
    <x v="0"/>
    <n v="1"/>
    <n v="1888"/>
    <n v="2"/>
    <x v="0"/>
    <n v="93"/>
    <n v="2"/>
    <x v="0"/>
    <s v="Manufacturing Director"/>
    <n v="4"/>
    <s v="Married"/>
    <x v="1246"/>
    <n v="23888"/>
    <n v="0"/>
    <s v="Y"/>
    <x v="1"/>
    <n v="13"/>
    <n v="3"/>
    <n v="4"/>
    <x v="0"/>
    <n v="2"/>
    <n v="10"/>
    <n v="2"/>
    <n v="2"/>
    <n v="9"/>
    <n v="8"/>
    <x v="2"/>
    <n v="8"/>
  </r>
  <r>
    <n v="36"/>
    <x v="1"/>
    <x v="1"/>
    <n v="1213"/>
    <x v="2"/>
    <n v="2"/>
    <n v="1"/>
    <x v="5"/>
    <n v="1"/>
    <n v="1890"/>
    <n v="2"/>
    <x v="1"/>
    <n v="94"/>
    <n v="2"/>
    <x v="0"/>
    <s v="Human Resources"/>
    <n v="4"/>
    <s v="Single"/>
    <x v="1247"/>
    <n v="4223"/>
    <n v="1"/>
    <s v="Y"/>
    <x v="1"/>
    <n v="21"/>
    <n v="4"/>
    <n v="4"/>
    <x v="0"/>
    <n v="0"/>
    <n v="10"/>
    <n v="2"/>
    <n v="2"/>
    <n v="10"/>
    <n v="1"/>
    <x v="0"/>
    <n v="8"/>
  </r>
  <r>
    <n v="40"/>
    <x v="1"/>
    <x v="0"/>
    <n v="1137"/>
    <x v="1"/>
    <n v="1"/>
    <n v="4"/>
    <x v="0"/>
    <n v="1"/>
    <n v="1892"/>
    <n v="1"/>
    <x v="1"/>
    <n v="98"/>
    <n v="3"/>
    <x v="3"/>
    <s v="Manager"/>
    <n v="1"/>
    <s v="Divorced"/>
    <x v="1248"/>
    <n v="18991"/>
    <n v="2"/>
    <s v="Y"/>
    <x v="1"/>
    <n v="11"/>
    <n v="3"/>
    <n v="1"/>
    <x v="0"/>
    <n v="1"/>
    <n v="22"/>
    <n v="3"/>
    <n v="3"/>
    <n v="19"/>
    <n v="7"/>
    <x v="14"/>
    <n v="16"/>
  </r>
  <r>
    <n v="26"/>
    <x v="1"/>
    <x v="0"/>
    <n v="482"/>
    <x v="1"/>
    <n v="1"/>
    <n v="2"/>
    <x v="0"/>
    <n v="1"/>
    <n v="1893"/>
    <n v="2"/>
    <x v="0"/>
    <n v="90"/>
    <n v="2"/>
    <x v="1"/>
    <s v="Research Scientist"/>
    <n v="3"/>
    <s v="Married"/>
    <x v="1249"/>
    <n v="14908"/>
    <n v="1"/>
    <s v="Y"/>
    <x v="0"/>
    <n v="13"/>
    <n v="3"/>
    <n v="3"/>
    <x v="0"/>
    <n v="1"/>
    <n v="1"/>
    <n v="3"/>
    <n v="2"/>
    <n v="1"/>
    <n v="0"/>
    <x v="1"/>
    <n v="0"/>
  </r>
  <r>
    <n v="27"/>
    <x v="1"/>
    <x v="0"/>
    <n v="511"/>
    <x v="0"/>
    <n v="2"/>
    <n v="2"/>
    <x v="2"/>
    <n v="1"/>
    <n v="1898"/>
    <n v="1"/>
    <x v="0"/>
    <n v="89"/>
    <n v="4"/>
    <x v="0"/>
    <s v="Sales Executive"/>
    <n v="3"/>
    <s v="Single"/>
    <x v="559"/>
    <n v="26997"/>
    <n v="0"/>
    <s v="Y"/>
    <x v="1"/>
    <n v="14"/>
    <n v="3"/>
    <n v="2"/>
    <x v="0"/>
    <n v="0"/>
    <n v="9"/>
    <n v="5"/>
    <n v="2"/>
    <n v="8"/>
    <n v="7"/>
    <x v="0"/>
    <n v="7"/>
  </r>
  <r>
    <n v="48"/>
    <x v="1"/>
    <x v="1"/>
    <n v="117"/>
    <x v="1"/>
    <n v="22"/>
    <n v="3"/>
    <x v="2"/>
    <n v="1"/>
    <n v="1900"/>
    <n v="4"/>
    <x v="0"/>
    <n v="58"/>
    <n v="3"/>
    <x v="3"/>
    <s v="Manager"/>
    <n v="4"/>
    <s v="Divorced"/>
    <x v="1250"/>
    <n v="2437"/>
    <n v="3"/>
    <s v="Y"/>
    <x v="1"/>
    <n v="11"/>
    <n v="3"/>
    <n v="2"/>
    <x v="0"/>
    <n v="1"/>
    <n v="24"/>
    <n v="3"/>
    <n v="3"/>
    <n v="22"/>
    <n v="17"/>
    <x v="5"/>
    <n v="7"/>
  </r>
  <r>
    <n v="44"/>
    <x v="1"/>
    <x v="0"/>
    <n v="170"/>
    <x v="1"/>
    <n v="1"/>
    <n v="4"/>
    <x v="0"/>
    <n v="1"/>
    <n v="1903"/>
    <n v="2"/>
    <x v="1"/>
    <n v="78"/>
    <n v="4"/>
    <x v="0"/>
    <s v="Healthcare Representative"/>
    <n v="1"/>
    <s v="Married"/>
    <x v="1251"/>
    <n v="9364"/>
    <n v="2"/>
    <s v="Y"/>
    <x v="1"/>
    <n v="15"/>
    <n v="3"/>
    <n v="4"/>
    <x v="0"/>
    <n v="1"/>
    <n v="10"/>
    <n v="5"/>
    <n v="3"/>
    <n v="2"/>
    <n v="0"/>
    <x v="3"/>
    <n v="2"/>
  </r>
  <r>
    <n v="34"/>
    <x v="0"/>
    <x v="2"/>
    <n v="967"/>
    <x v="1"/>
    <n v="16"/>
    <n v="4"/>
    <x v="4"/>
    <n v="1"/>
    <n v="1905"/>
    <n v="4"/>
    <x v="1"/>
    <n v="85"/>
    <n v="1"/>
    <x v="1"/>
    <s v="Research Scientist"/>
    <n v="1"/>
    <s v="Married"/>
    <x v="1252"/>
    <n v="14460"/>
    <n v="1"/>
    <s v="Y"/>
    <x v="0"/>
    <n v="23"/>
    <n v="4"/>
    <n v="2"/>
    <x v="0"/>
    <n v="1"/>
    <n v="5"/>
    <n v="2"/>
    <n v="3"/>
    <n v="5"/>
    <n v="2"/>
    <x v="2"/>
    <n v="0"/>
  </r>
  <r>
    <n v="56"/>
    <x v="0"/>
    <x v="0"/>
    <n v="1162"/>
    <x v="1"/>
    <n v="24"/>
    <n v="2"/>
    <x v="0"/>
    <n v="1"/>
    <n v="1907"/>
    <n v="1"/>
    <x v="1"/>
    <n v="97"/>
    <n v="3"/>
    <x v="1"/>
    <s v="Laboratory Technician"/>
    <n v="4"/>
    <s v="Single"/>
    <x v="1105"/>
    <n v="10261"/>
    <n v="1"/>
    <s v="Y"/>
    <x v="1"/>
    <n v="16"/>
    <n v="3"/>
    <n v="4"/>
    <x v="0"/>
    <n v="0"/>
    <n v="5"/>
    <n v="3"/>
    <n v="3"/>
    <n v="4"/>
    <n v="2"/>
    <x v="1"/>
    <n v="0"/>
  </r>
  <r>
    <n v="36"/>
    <x v="1"/>
    <x v="0"/>
    <n v="335"/>
    <x v="0"/>
    <n v="17"/>
    <n v="2"/>
    <x v="3"/>
    <n v="1"/>
    <n v="1908"/>
    <n v="3"/>
    <x v="1"/>
    <n v="33"/>
    <n v="2"/>
    <x v="0"/>
    <s v="Sales Executive"/>
    <n v="2"/>
    <s v="Married"/>
    <x v="1253"/>
    <n v="16822"/>
    <n v="2"/>
    <s v="Y"/>
    <x v="1"/>
    <n v="16"/>
    <n v="3"/>
    <n v="3"/>
    <x v="0"/>
    <n v="2"/>
    <n v="12"/>
    <n v="1"/>
    <n v="1"/>
    <n v="4"/>
    <n v="2"/>
    <x v="1"/>
    <n v="3"/>
  </r>
  <r>
    <n v="41"/>
    <x v="1"/>
    <x v="0"/>
    <n v="337"/>
    <x v="0"/>
    <n v="8"/>
    <n v="3"/>
    <x v="3"/>
    <n v="1"/>
    <n v="1909"/>
    <n v="3"/>
    <x v="0"/>
    <n v="54"/>
    <n v="3"/>
    <x v="0"/>
    <s v="Sales Executive"/>
    <n v="2"/>
    <s v="Married"/>
    <x v="1254"/>
    <n v="26841"/>
    <n v="5"/>
    <s v="Y"/>
    <x v="1"/>
    <n v="21"/>
    <n v="4"/>
    <n v="3"/>
    <x v="0"/>
    <n v="1"/>
    <n v="14"/>
    <n v="3"/>
    <n v="3"/>
    <n v="5"/>
    <n v="4"/>
    <x v="1"/>
    <n v="4"/>
  </r>
  <r>
    <n v="42"/>
    <x v="1"/>
    <x v="0"/>
    <n v="1396"/>
    <x v="1"/>
    <n v="6"/>
    <n v="3"/>
    <x v="2"/>
    <n v="1"/>
    <n v="1911"/>
    <n v="3"/>
    <x v="1"/>
    <n v="83"/>
    <n v="3"/>
    <x v="2"/>
    <s v="Research Director"/>
    <n v="1"/>
    <s v="Married"/>
    <x v="1255"/>
    <n v="14842"/>
    <n v="9"/>
    <s v="Y"/>
    <x v="1"/>
    <n v="13"/>
    <n v="3"/>
    <n v="2"/>
    <x v="0"/>
    <n v="1"/>
    <n v="18"/>
    <n v="3"/>
    <n v="4"/>
    <n v="13"/>
    <n v="7"/>
    <x v="8"/>
    <n v="7"/>
  </r>
  <r>
    <n v="31"/>
    <x v="1"/>
    <x v="0"/>
    <n v="1079"/>
    <x v="0"/>
    <n v="10"/>
    <n v="2"/>
    <x v="2"/>
    <n v="1"/>
    <n v="1912"/>
    <n v="3"/>
    <x v="0"/>
    <n v="86"/>
    <n v="3"/>
    <x v="0"/>
    <s v="Sales Executive"/>
    <n v="4"/>
    <s v="Divorced"/>
    <x v="1256"/>
    <n v="20115"/>
    <n v="2"/>
    <s v="Y"/>
    <x v="0"/>
    <n v="11"/>
    <n v="3"/>
    <n v="4"/>
    <x v="0"/>
    <n v="1"/>
    <n v="8"/>
    <n v="2"/>
    <n v="3"/>
    <n v="5"/>
    <n v="2"/>
    <x v="1"/>
    <n v="4"/>
  </r>
  <r>
    <n v="34"/>
    <x v="1"/>
    <x v="0"/>
    <n v="735"/>
    <x v="0"/>
    <n v="3"/>
    <n v="1"/>
    <x v="2"/>
    <n v="1"/>
    <n v="1915"/>
    <n v="4"/>
    <x v="0"/>
    <n v="75"/>
    <n v="2"/>
    <x v="0"/>
    <s v="Sales Executive"/>
    <n v="4"/>
    <s v="Married"/>
    <x v="1257"/>
    <n v="16495"/>
    <n v="3"/>
    <s v="Y"/>
    <x v="0"/>
    <n v="12"/>
    <n v="3"/>
    <n v="3"/>
    <x v="0"/>
    <n v="0"/>
    <n v="9"/>
    <n v="3"/>
    <n v="2"/>
    <n v="4"/>
    <n v="2"/>
    <x v="0"/>
    <n v="1"/>
  </r>
  <r>
    <n v="31"/>
    <x v="1"/>
    <x v="0"/>
    <n v="471"/>
    <x v="1"/>
    <n v="4"/>
    <n v="3"/>
    <x v="2"/>
    <n v="1"/>
    <n v="1916"/>
    <n v="1"/>
    <x v="0"/>
    <n v="62"/>
    <n v="4"/>
    <x v="1"/>
    <s v="Laboratory Technician"/>
    <n v="3"/>
    <s v="Divorced"/>
    <x v="1258"/>
    <n v="16031"/>
    <n v="8"/>
    <s v="Y"/>
    <x v="1"/>
    <n v="12"/>
    <n v="3"/>
    <n v="2"/>
    <x v="0"/>
    <n v="1"/>
    <n v="4"/>
    <n v="0"/>
    <n v="2"/>
    <n v="2"/>
    <n v="2"/>
    <x v="3"/>
    <n v="2"/>
  </r>
  <r>
    <n v="26"/>
    <x v="1"/>
    <x v="1"/>
    <n v="1096"/>
    <x v="1"/>
    <n v="6"/>
    <n v="3"/>
    <x v="1"/>
    <n v="1"/>
    <n v="1918"/>
    <n v="3"/>
    <x v="1"/>
    <n v="61"/>
    <n v="4"/>
    <x v="1"/>
    <s v="Laboratory Technician"/>
    <n v="4"/>
    <s v="Married"/>
    <x v="1259"/>
    <n v="7102"/>
    <n v="0"/>
    <s v="Y"/>
    <x v="1"/>
    <n v="18"/>
    <n v="3"/>
    <n v="1"/>
    <x v="0"/>
    <n v="1"/>
    <n v="8"/>
    <n v="3"/>
    <n v="3"/>
    <n v="7"/>
    <n v="7"/>
    <x v="4"/>
    <n v="7"/>
  </r>
  <r>
    <n v="45"/>
    <x v="1"/>
    <x v="1"/>
    <n v="1297"/>
    <x v="1"/>
    <n v="1"/>
    <n v="4"/>
    <x v="2"/>
    <n v="1"/>
    <n v="1922"/>
    <n v="2"/>
    <x v="1"/>
    <n v="44"/>
    <n v="3"/>
    <x v="0"/>
    <s v="Healthcare Representative"/>
    <n v="3"/>
    <s v="Single"/>
    <x v="1260"/>
    <n v="14511"/>
    <n v="4"/>
    <s v="Y"/>
    <x v="1"/>
    <n v="12"/>
    <n v="3"/>
    <n v="3"/>
    <x v="0"/>
    <n v="0"/>
    <n v="12"/>
    <n v="3"/>
    <n v="3"/>
    <n v="4"/>
    <n v="2"/>
    <x v="0"/>
    <n v="3"/>
  </r>
  <r>
    <n v="33"/>
    <x v="1"/>
    <x v="0"/>
    <n v="217"/>
    <x v="0"/>
    <n v="10"/>
    <n v="4"/>
    <x v="3"/>
    <n v="1"/>
    <n v="1924"/>
    <n v="2"/>
    <x v="1"/>
    <n v="43"/>
    <n v="3"/>
    <x v="0"/>
    <s v="Sales Executive"/>
    <n v="3"/>
    <s v="Single"/>
    <x v="1261"/>
    <n v="10410"/>
    <n v="1"/>
    <s v="Y"/>
    <x v="1"/>
    <n v="14"/>
    <n v="3"/>
    <n v="2"/>
    <x v="0"/>
    <n v="0"/>
    <n v="10"/>
    <n v="2"/>
    <n v="2"/>
    <n v="10"/>
    <n v="4"/>
    <x v="0"/>
    <n v="9"/>
  </r>
  <r>
    <n v="28"/>
    <x v="1"/>
    <x v="1"/>
    <n v="783"/>
    <x v="0"/>
    <n v="1"/>
    <n v="2"/>
    <x v="0"/>
    <n v="1"/>
    <n v="1927"/>
    <n v="3"/>
    <x v="1"/>
    <n v="42"/>
    <n v="2"/>
    <x v="0"/>
    <s v="Sales Executive"/>
    <n v="4"/>
    <s v="Married"/>
    <x v="1262"/>
    <n v="19255"/>
    <n v="1"/>
    <s v="Y"/>
    <x v="0"/>
    <n v="12"/>
    <n v="3"/>
    <n v="3"/>
    <x v="0"/>
    <n v="1"/>
    <n v="7"/>
    <n v="2"/>
    <n v="3"/>
    <n v="7"/>
    <n v="7"/>
    <x v="0"/>
    <n v="7"/>
  </r>
  <r>
    <n v="29"/>
    <x v="0"/>
    <x v="1"/>
    <n v="746"/>
    <x v="0"/>
    <n v="24"/>
    <n v="3"/>
    <x v="4"/>
    <n v="1"/>
    <n v="1928"/>
    <n v="3"/>
    <x v="1"/>
    <n v="45"/>
    <n v="4"/>
    <x v="1"/>
    <s v="Sales Representative"/>
    <n v="1"/>
    <s v="Single"/>
    <x v="1263"/>
    <n v="10642"/>
    <n v="1"/>
    <s v="Y"/>
    <x v="1"/>
    <n v="17"/>
    <n v="3"/>
    <n v="4"/>
    <x v="0"/>
    <n v="0"/>
    <n v="1"/>
    <n v="3"/>
    <n v="3"/>
    <n v="1"/>
    <n v="0"/>
    <x v="0"/>
    <n v="0"/>
  </r>
  <r>
    <n v="39"/>
    <x v="1"/>
    <x v="2"/>
    <n v="1251"/>
    <x v="0"/>
    <n v="21"/>
    <n v="4"/>
    <x v="0"/>
    <n v="1"/>
    <n v="1929"/>
    <n v="1"/>
    <x v="0"/>
    <n v="32"/>
    <n v="1"/>
    <x v="0"/>
    <s v="Sales Executive"/>
    <n v="3"/>
    <s v="Married"/>
    <x v="1264"/>
    <n v="3987"/>
    <n v="6"/>
    <s v="Y"/>
    <x v="1"/>
    <n v="19"/>
    <n v="3"/>
    <n v="3"/>
    <x v="0"/>
    <n v="1"/>
    <n v="10"/>
    <n v="1"/>
    <n v="3"/>
    <n v="3"/>
    <n v="2"/>
    <x v="1"/>
    <n v="2"/>
  </r>
  <r>
    <n v="27"/>
    <x v="1"/>
    <x v="0"/>
    <n v="1354"/>
    <x v="1"/>
    <n v="2"/>
    <n v="4"/>
    <x v="4"/>
    <n v="1"/>
    <n v="1931"/>
    <n v="2"/>
    <x v="1"/>
    <n v="41"/>
    <n v="3"/>
    <x v="1"/>
    <s v="Research Scientist"/>
    <n v="2"/>
    <s v="Married"/>
    <x v="1265"/>
    <n v="6073"/>
    <n v="1"/>
    <s v="Y"/>
    <x v="1"/>
    <n v="11"/>
    <n v="3"/>
    <n v="3"/>
    <x v="0"/>
    <n v="1"/>
    <n v="6"/>
    <n v="3"/>
    <n v="2"/>
    <n v="5"/>
    <n v="3"/>
    <x v="1"/>
    <n v="2"/>
  </r>
  <r>
    <n v="34"/>
    <x v="1"/>
    <x v="1"/>
    <n v="735"/>
    <x v="1"/>
    <n v="22"/>
    <n v="4"/>
    <x v="1"/>
    <n v="1"/>
    <n v="1932"/>
    <n v="3"/>
    <x v="1"/>
    <n v="86"/>
    <n v="2"/>
    <x v="0"/>
    <s v="Research Scientist"/>
    <n v="4"/>
    <s v="Married"/>
    <x v="1266"/>
    <n v="26496"/>
    <n v="1"/>
    <s v="Y"/>
    <x v="0"/>
    <n v="15"/>
    <n v="3"/>
    <n v="2"/>
    <x v="0"/>
    <n v="0"/>
    <n v="16"/>
    <n v="3"/>
    <n v="3"/>
    <n v="15"/>
    <n v="10"/>
    <x v="7"/>
    <n v="11"/>
  </r>
  <r>
    <n v="28"/>
    <x v="0"/>
    <x v="0"/>
    <n v="1475"/>
    <x v="0"/>
    <n v="13"/>
    <n v="2"/>
    <x v="3"/>
    <n v="1"/>
    <n v="1933"/>
    <n v="4"/>
    <x v="0"/>
    <n v="84"/>
    <n v="3"/>
    <x v="0"/>
    <s v="Sales Executive"/>
    <n v="3"/>
    <s v="Single"/>
    <x v="1267"/>
    <n v="23352"/>
    <n v="3"/>
    <s v="Y"/>
    <x v="0"/>
    <n v="11"/>
    <n v="3"/>
    <n v="4"/>
    <x v="0"/>
    <n v="0"/>
    <n v="6"/>
    <n v="0"/>
    <n v="3"/>
    <n v="2"/>
    <n v="0"/>
    <x v="3"/>
    <n v="2"/>
  </r>
  <r>
    <n v="47"/>
    <x v="1"/>
    <x v="2"/>
    <n v="1169"/>
    <x v="1"/>
    <n v="14"/>
    <n v="4"/>
    <x v="4"/>
    <n v="1"/>
    <n v="1934"/>
    <n v="3"/>
    <x v="1"/>
    <n v="64"/>
    <n v="3"/>
    <x v="0"/>
    <s v="Research Scientist"/>
    <n v="2"/>
    <s v="Married"/>
    <x v="931"/>
    <n v="2125"/>
    <n v="8"/>
    <s v="Y"/>
    <x v="1"/>
    <n v="18"/>
    <n v="3"/>
    <n v="3"/>
    <x v="0"/>
    <n v="1"/>
    <n v="16"/>
    <n v="4"/>
    <n v="4"/>
    <n v="8"/>
    <n v="7"/>
    <x v="1"/>
    <n v="7"/>
  </r>
  <r>
    <n v="56"/>
    <x v="1"/>
    <x v="0"/>
    <n v="1443"/>
    <x v="0"/>
    <n v="11"/>
    <n v="5"/>
    <x v="3"/>
    <n v="1"/>
    <n v="1935"/>
    <n v="4"/>
    <x v="0"/>
    <n v="89"/>
    <n v="2"/>
    <x v="0"/>
    <s v="Sales Executive"/>
    <n v="1"/>
    <s v="Married"/>
    <x v="1268"/>
    <n v="20328"/>
    <n v="4"/>
    <s v="Y"/>
    <x v="1"/>
    <n v="16"/>
    <n v="3"/>
    <n v="3"/>
    <x v="0"/>
    <n v="1"/>
    <n v="6"/>
    <n v="3"/>
    <n v="3"/>
    <n v="0"/>
    <n v="0"/>
    <x v="0"/>
    <n v="0"/>
  </r>
  <r>
    <n v="39"/>
    <x v="1"/>
    <x v="0"/>
    <n v="867"/>
    <x v="1"/>
    <n v="9"/>
    <n v="2"/>
    <x v="2"/>
    <n v="1"/>
    <n v="1936"/>
    <n v="1"/>
    <x v="1"/>
    <n v="87"/>
    <n v="3"/>
    <x v="0"/>
    <s v="Manufacturing Director"/>
    <n v="1"/>
    <s v="Married"/>
    <x v="1269"/>
    <n v="12315"/>
    <n v="1"/>
    <s v="Y"/>
    <x v="1"/>
    <n v="25"/>
    <n v="4"/>
    <n v="4"/>
    <x v="0"/>
    <n v="1"/>
    <n v="10"/>
    <n v="3"/>
    <n v="3"/>
    <n v="10"/>
    <n v="0"/>
    <x v="4"/>
    <n v="9"/>
  </r>
  <r>
    <n v="38"/>
    <x v="1"/>
    <x v="1"/>
    <n v="1394"/>
    <x v="1"/>
    <n v="8"/>
    <n v="3"/>
    <x v="2"/>
    <n v="1"/>
    <n v="1937"/>
    <n v="4"/>
    <x v="0"/>
    <n v="58"/>
    <n v="2"/>
    <x v="0"/>
    <s v="Research Scientist"/>
    <n v="2"/>
    <s v="Divorced"/>
    <x v="1270"/>
    <n v="18115"/>
    <n v="1"/>
    <s v="Y"/>
    <x v="0"/>
    <n v="16"/>
    <n v="3"/>
    <n v="3"/>
    <x v="0"/>
    <n v="1"/>
    <n v="20"/>
    <n v="3"/>
    <n v="3"/>
    <n v="20"/>
    <n v="11"/>
    <x v="0"/>
    <n v="7"/>
  </r>
  <r>
    <n v="58"/>
    <x v="1"/>
    <x v="0"/>
    <n v="605"/>
    <x v="0"/>
    <n v="21"/>
    <n v="3"/>
    <x v="0"/>
    <n v="1"/>
    <n v="1938"/>
    <n v="4"/>
    <x v="0"/>
    <n v="72"/>
    <n v="3"/>
    <x v="3"/>
    <s v="Manager"/>
    <n v="4"/>
    <s v="Married"/>
    <x v="1271"/>
    <n v="11761"/>
    <n v="4"/>
    <s v="Y"/>
    <x v="0"/>
    <n v="13"/>
    <n v="3"/>
    <n v="3"/>
    <x v="0"/>
    <n v="1"/>
    <n v="29"/>
    <n v="2"/>
    <n v="2"/>
    <n v="1"/>
    <n v="0"/>
    <x v="0"/>
    <n v="0"/>
  </r>
  <r>
    <n v="32"/>
    <x v="0"/>
    <x v="1"/>
    <n v="238"/>
    <x v="1"/>
    <n v="5"/>
    <n v="2"/>
    <x v="0"/>
    <n v="1"/>
    <n v="1939"/>
    <n v="1"/>
    <x v="0"/>
    <n v="47"/>
    <n v="4"/>
    <x v="1"/>
    <s v="Research Scientist"/>
    <n v="3"/>
    <s v="Single"/>
    <x v="1272"/>
    <n v="15318"/>
    <n v="3"/>
    <s v="Y"/>
    <x v="0"/>
    <n v="14"/>
    <n v="3"/>
    <n v="1"/>
    <x v="0"/>
    <n v="0"/>
    <n v="8"/>
    <n v="2"/>
    <n v="3"/>
    <n v="4"/>
    <n v="1"/>
    <x v="0"/>
    <n v="3"/>
  </r>
  <r>
    <n v="38"/>
    <x v="1"/>
    <x v="0"/>
    <n v="1206"/>
    <x v="1"/>
    <n v="9"/>
    <n v="2"/>
    <x v="0"/>
    <n v="1"/>
    <n v="1940"/>
    <n v="2"/>
    <x v="1"/>
    <n v="71"/>
    <n v="3"/>
    <x v="1"/>
    <s v="Research Scientist"/>
    <n v="4"/>
    <s v="Divorced"/>
    <x v="1273"/>
    <n v="14293"/>
    <n v="2"/>
    <s v="Y"/>
    <x v="1"/>
    <n v="19"/>
    <n v="3"/>
    <n v="4"/>
    <x v="0"/>
    <n v="2"/>
    <n v="10"/>
    <n v="0"/>
    <n v="4"/>
    <n v="5"/>
    <n v="2"/>
    <x v="0"/>
    <n v="3"/>
  </r>
  <r>
    <n v="49"/>
    <x v="1"/>
    <x v="1"/>
    <n v="1064"/>
    <x v="1"/>
    <n v="2"/>
    <n v="1"/>
    <x v="0"/>
    <n v="1"/>
    <n v="1941"/>
    <n v="2"/>
    <x v="1"/>
    <n v="42"/>
    <n v="3"/>
    <x v="4"/>
    <s v="Research Director"/>
    <n v="4"/>
    <s v="Married"/>
    <x v="1274"/>
    <n v="13738"/>
    <n v="3"/>
    <s v="Y"/>
    <x v="1"/>
    <n v="15"/>
    <n v="3"/>
    <n v="4"/>
    <x v="0"/>
    <n v="0"/>
    <n v="28"/>
    <n v="3"/>
    <n v="3"/>
    <n v="5"/>
    <n v="4"/>
    <x v="5"/>
    <n v="3"/>
  </r>
  <r>
    <n v="42"/>
    <x v="1"/>
    <x v="0"/>
    <n v="419"/>
    <x v="0"/>
    <n v="12"/>
    <n v="4"/>
    <x v="3"/>
    <n v="1"/>
    <n v="1943"/>
    <n v="2"/>
    <x v="1"/>
    <n v="77"/>
    <n v="3"/>
    <x v="0"/>
    <s v="Sales Executive"/>
    <n v="4"/>
    <s v="Divorced"/>
    <x v="1275"/>
    <n v="2900"/>
    <n v="3"/>
    <s v="Y"/>
    <x v="0"/>
    <n v="12"/>
    <n v="3"/>
    <n v="3"/>
    <x v="0"/>
    <n v="2"/>
    <n v="14"/>
    <n v="4"/>
    <n v="3"/>
    <n v="0"/>
    <n v="0"/>
    <x v="0"/>
    <n v="0"/>
  </r>
  <r>
    <n v="27"/>
    <x v="0"/>
    <x v="1"/>
    <n v="1337"/>
    <x v="2"/>
    <n v="22"/>
    <n v="3"/>
    <x v="5"/>
    <n v="1"/>
    <n v="1944"/>
    <n v="1"/>
    <x v="0"/>
    <n v="58"/>
    <n v="2"/>
    <x v="1"/>
    <s v="Human Resources"/>
    <n v="2"/>
    <s v="Married"/>
    <x v="1276"/>
    <n v="19555"/>
    <n v="1"/>
    <s v="Y"/>
    <x v="1"/>
    <n v="12"/>
    <n v="3"/>
    <n v="1"/>
    <x v="0"/>
    <n v="0"/>
    <n v="1"/>
    <n v="2"/>
    <n v="3"/>
    <n v="1"/>
    <n v="0"/>
    <x v="0"/>
    <n v="0"/>
  </r>
  <r>
    <n v="35"/>
    <x v="1"/>
    <x v="0"/>
    <n v="682"/>
    <x v="0"/>
    <n v="18"/>
    <n v="4"/>
    <x v="2"/>
    <n v="1"/>
    <n v="1945"/>
    <n v="2"/>
    <x v="1"/>
    <n v="71"/>
    <n v="3"/>
    <x v="0"/>
    <s v="Sales Executive"/>
    <n v="1"/>
    <s v="Married"/>
    <x v="489"/>
    <n v="15975"/>
    <n v="0"/>
    <s v="Y"/>
    <x v="1"/>
    <n v="16"/>
    <n v="3"/>
    <n v="4"/>
    <x v="0"/>
    <n v="1"/>
    <n v="6"/>
    <n v="2"/>
    <n v="1"/>
    <n v="5"/>
    <n v="3"/>
    <x v="0"/>
    <n v="4"/>
  </r>
  <r>
    <n v="28"/>
    <x v="1"/>
    <x v="2"/>
    <n v="1103"/>
    <x v="1"/>
    <n v="16"/>
    <n v="3"/>
    <x v="2"/>
    <n v="1"/>
    <n v="1947"/>
    <n v="3"/>
    <x v="1"/>
    <n v="49"/>
    <n v="3"/>
    <x v="1"/>
    <s v="Research Scientist"/>
    <n v="3"/>
    <s v="Single"/>
    <x v="1277"/>
    <n v="2122"/>
    <n v="1"/>
    <s v="Y"/>
    <x v="1"/>
    <n v="14"/>
    <n v="3"/>
    <n v="3"/>
    <x v="0"/>
    <n v="0"/>
    <n v="5"/>
    <n v="3"/>
    <n v="2"/>
    <n v="5"/>
    <n v="3"/>
    <x v="1"/>
    <n v="4"/>
  </r>
  <r>
    <n v="31"/>
    <x v="1"/>
    <x v="2"/>
    <n v="976"/>
    <x v="1"/>
    <n v="3"/>
    <n v="2"/>
    <x v="2"/>
    <n v="1"/>
    <n v="1948"/>
    <n v="3"/>
    <x v="1"/>
    <n v="48"/>
    <n v="3"/>
    <x v="1"/>
    <s v="Research Scientist"/>
    <n v="1"/>
    <s v="Divorced"/>
    <x v="1278"/>
    <n v="3995"/>
    <n v="1"/>
    <s v="Y"/>
    <x v="0"/>
    <n v="13"/>
    <n v="3"/>
    <n v="4"/>
    <x v="0"/>
    <n v="1"/>
    <n v="4"/>
    <n v="3"/>
    <n v="4"/>
    <n v="4"/>
    <n v="2"/>
    <x v="3"/>
    <n v="3"/>
  </r>
  <r>
    <n v="36"/>
    <x v="1"/>
    <x v="2"/>
    <n v="1351"/>
    <x v="1"/>
    <n v="9"/>
    <n v="4"/>
    <x v="0"/>
    <n v="1"/>
    <n v="1949"/>
    <n v="1"/>
    <x v="1"/>
    <n v="66"/>
    <n v="4"/>
    <x v="1"/>
    <s v="Laboratory Technician"/>
    <n v="2"/>
    <s v="Married"/>
    <x v="1279"/>
    <n v="9238"/>
    <n v="1"/>
    <s v="Y"/>
    <x v="1"/>
    <n v="22"/>
    <n v="4"/>
    <n v="2"/>
    <x v="0"/>
    <n v="0"/>
    <n v="5"/>
    <n v="3"/>
    <n v="3"/>
    <n v="5"/>
    <n v="4"/>
    <x v="0"/>
    <n v="2"/>
  </r>
  <r>
    <n v="34"/>
    <x v="1"/>
    <x v="0"/>
    <n v="937"/>
    <x v="0"/>
    <n v="1"/>
    <n v="3"/>
    <x v="3"/>
    <n v="1"/>
    <n v="1950"/>
    <n v="1"/>
    <x v="1"/>
    <n v="32"/>
    <n v="3"/>
    <x v="2"/>
    <s v="Sales Executive"/>
    <n v="4"/>
    <s v="Single"/>
    <x v="1280"/>
    <n v="6770"/>
    <n v="1"/>
    <s v="Y"/>
    <x v="1"/>
    <n v="21"/>
    <n v="4"/>
    <n v="1"/>
    <x v="0"/>
    <n v="0"/>
    <n v="14"/>
    <n v="3"/>
    <n v="2"/>
    <n v="14"/>
    <n v="8"/>
    <x v="3"/>
    <n v="1"/>
  </r>
  <r>
    <n v="34"/>
    <x v="1"/>
    <x v="0"/>
    <n v="1239"/>
    <x v="0"/>
    <n v="13"/>
    <n v="4"/>
    <x v="2"/>
    <n v="1"/>
    <n v="1951"/>
    <n v="4"/>
    <x v="1"/>
    <n v="39"/>
    <n v="3"/>
    <x v="2"/>
    <s v="Sales Executive"/>
    <n v="3"/>
    <s v="Divorced"/>
    <x v="1281"/>
    <n v="22914"/>
    <n v="1"/>
    <s v="Y"/>
    <x v="1"/>
    <n v="18"/>
    <n v="3"/>
    <n v="3"/>
    <x v="0"/>
    <n v="1"/>
    <n v="9"/>
    <n v="2"/>
    <n v="2"/>
    <n v="8"/>
    <n v="7"/>
    <x v="1"/>
    <n v="1"/>
  </r>
  <r>
    <n v="26"/>
    <x v="1"/>
    <x v="0"/>
    <n v="157"/>
    <x v="1"/>
    <n v="1"/>
    <n v="3"/>
    <x v="2"/>
    <n v="1"/>
    <n v="1952"/>
    <n v="3"/>
    <x v="1"/>
    <n v="95"/>
    <n v="3"/>
    <x v="1"/>
    <s v="Laboratory Technician"/>
    <n v="1"/>
    <s v="Single"/>
    <x v="1282"/>
    <n v="20006"/>
    <n v="0"/>
    <s v="Y"/>
    <x v="1"/>
    <n v="13"/>
    <n v="3"/>
    <n v="4"/>
    <x v="0"/>
    <n v="0"/>
    <n v="8"/>
    <n v="6"/>
    <n v="2"/>
    <n v="7"/>
    <n v="7"/>
    <x v="4"/>
    <n v="6"/>
  </r>
  <r>
    <n v="29"/>
    <x v="1"/>
    <x v="0"/>
    <n v="136"/>
    <x v="1"/>
    <n v="1"/>
    <n v="3"/>
    <x v="0"/>
    <n v="1"/>
    <n v="1954"/>
    <n v="1"/>
    <x v="1"/>
    <n v="89"/>
    <n v="3"/>
    <x v="0"/>
    <s v="Healthcare Representative"/>
    <n v="1"/>
    <s v="Married"/>
    <x v="1283"/>
    <n v="6225"/>
    <n v="0"/>
    <s v="Y"/>
    <x v="1"/>
    <n v="12"/>
    <n v="3"/>
    <n v="1"/>
    <x v="0"/>
    <n v="1"/>
    <n v="6"/>
    <n v="5"/>
    <n v="2"/>
    <n v="5"/>
    <n v="3"/>
    <x v="0"/>
    <n v="2"/>
  </r>
  <r>
    <n v="32"/>
    <x v="1"/>
    <x v="2"/>
    <n v="1146"/>
    <x v="1"/>
    <n v="15"/>
    <n v="4"/>
    <x v="2"/>
    <n v="1"/>
    <n v="1955"/>
    <n v="3"/>
    <x v="0"/>
    <n v="34"/>
    <n v="3"/>
    <x v="0"/>
    <s v="Healthcare Representative"/>
    <n v="4"/>
    <s v="Divorced"/>
    <x v="1284"/>
    <n v="16542"/>
    <n v="5"/>
    <s v="Y"/>
    <x v="1"/>
    <n v="18"/>
    <n v="3"/>
    <n v="2"/>
    <x v="0"/>
    <n v="1"/>
    <n v="9"/>
    <n v="6"/>
    <n v="3"/>
    <n v="5"/>
    <n v="1"/>
    <x v="1"/>
    <n v="2"/>
  </r>
  <r>
    <n v="31"/>
    <x v="1"/>
    <x v="1"/>
    <n v="1125"/>
    <x v="1"/>
    <n v="1"/>
    <n v="3"/>
    <x v="0"/>
    <n v="1"/>
    <n v="1956"/>
    <n v="4"/>
    <x v="1"/>
    <n v="48"/>
    <n v="1"/>
    <x v="0"/>
    <s v="Research Scientist"/>
    <n v="1"/>
    <s v="Married"/>
    <x v="701"/>
    <n v="5771"/>
    <n v="1"/>
    <s v="Y"/>
    <x v="1"/>
    <n v="21"/>
    <n v="4"/>
    <n v="2"/>
    <x v="0"/>
    <n v="0"/>
    <n v="10"/>
    <n v="6"/>
    <n v="3"/>
    <n v="10"/>
    <n v="8"/>
    <x v="6"/>
    <n v="7"/>
  </r>
  <r>
    <n v="28"/>
    <x v="0"/>
    <x v="0"/>
    <n v="1404"/>
    <x v="1"/>
    <n v="17"/>
    <n v="3"/>
    <x v="4"/>
    <n v="1"/>
    <n v="1960"/>
    <n v="3"/>
    <x v="1"/>
    <n v="32"/>
    <n v="2"/>
    <x v="1"/>
    <s v="Laboratory Technician"/>
    <n v="4"/>
    <s v="Divorced"/>
    <x v="1039"/>
    <n v="18779"/>
    <n v="5"/>
    <s v="Y"/>
    <x v="1"/>
    <n v="12"/>
    <n v="3"/>
    <n v="1"/>
    <x v="0"/>
    <n v="1"/>
    <n v="6"/>
    <n v="2"/>
    <n v="2"/>
    <n v="4"/>
    <n v="1"/>
    <x v="0"/>
    <n v="3"/>
  </r>
  <r>
    <n v="38"/>
    <x v="1"/>
    <x v="0"/>
    <n v="1404"/>
    <x v="0"/>
    <n v="1"/>
    <n v="3"/>
    <x v="0"/>
    <n v="1"/>
    <n v="1961"/>
    <n v="1"/>
    <x v="1"/>
    <n v="59"/>
    <n v="2"/>
    <x v="1"/>
    <s v="Sales Representative"/>
    <n v="1"/>
    <s v="Single"/>
    <x v="1285"/>
    <n v="11473"/>
    <n v="4"/>
    <s v="Y"/>
    <x v="1"/>
    <n v="14"/>
    <n v="3"/>
    <n v="1"/>
    <x v="0"/>
    <n v="0"/>
    <n v="20"/>
    <n v="3"/>
    <n v="2"/>
    <n v="1"/>
    <n v="0"/>
    <x v="0"/>
    <n v="0"/>
  </r>
  <r>
    <n v="35"/>
    <x v="1"/>
    <x v="0"/>
    <n v="1224"/>
    <x v="0"/>
    <n v="7"/>
    <n v="4"/>
    <x v="0"/>
    <n v="1"/>
    <n v="1962"/>
    <n v="3"/>
    <x v="0"/>
    <n v="55"/>
    <n v="3"/>
    <x v="0"/>
    <s v="Sales Executive"/>
    <n v="4"/>
    <s v="Married"/>
    <x v="626"/>
    <n v="13586"/>
    <n v="1"/>
    <s v="Y"/>
    <x v="0"/>
    <n v="11"/>
    <n v="3"/>
    <n v="4"/>
    <x v="0"/>
    <n v="0"/>
    <n v="10"/>
    <n v="2"/>
    <n v="3"/>
    <n v="10"/>
    <n v="8"/>
    <x v="0"/>
    <n v="9"/>
  </r>
  <r>
    <n v="27"/>
    <x v="1"/>
    <x v="0"/>
    <n v="954"/>
    <x v="0"/>
    <n v="9"/>
    <n v="3"/>
    <x v="3"/>
    <n v="1"/>
    <n v="1965"/>
    <n v="4"/>
    <x v="1"/>
    <n v="44"/>
    <n v="3"/>
    <x v="0"/>
    <s v="Sales Executive"/>
    <n v="4"/>
    <s v="Single"/>
    <x v="1286"/>
    <n v="5099"/>
    <n v="1"/>
    <s v="Y"/>
    <x v="1"/>
    <n v="14"/>
    <n v="3"/>
    <n v="1"/>
    <x v="0"/>
    <n v="0"/>
    <n v="7"/>
    <n v="5"/>
    <n v="3"/>
    <n v="7"/>
    <n v="7"/>
    <x v="0"/>
    <n v="7"/>
  </r>
  <r>
    <n v="32"/>
    <x v="1"/>
    <x v="0"/>
    <n v="1373"/>
    <x v="1"/>
    <n v="5"/>
    <n v="4"/>
    <x v="0"/>
    <n v="1"/>
    <n v="1966"/>
    <n v="4"/>
    <x v="1"/>
    <n v="56"/>
    <n v="2"/>
    <x v="0"/>
    <s v="Manufacturing Director"/>
    <n v="4"/>
    <s v="Single"/>
    <x v="1287"/>
    <n v="10138"/>
    <n v="8"/>
    <s v="Y"/>
    <x v="1"/>
    <n v="24"/>
    <n v="4"/>
    <n v="2"/>
    <x v="0"/>
    <n v="0"/>
    <n v="8"/>
    <n v="1"/>
    <n v="3"/>
    <n v="1"/>
    <n v="0"/>
    <x v="0"/>
    <n v="0"/>
  </r>
  <r>
    <n v="31"/>
    <x v="0"/>
    <x v="1"/>
    <n v="754"/>
    <x v="0"/>
    <n v="26"/>
    <n v="4"/>
    <x v="3"/>
    <n v="1"/>
    <n v="1967"/>
    <n v="1"/>
    <x v="1"/>
    <n v="63"/>
    <n v="3"/>
    <x v="0"/>
    <s v="Sales Executive"/>
    <n v="4"/>
    <s v="Married"/>
    <x v="1288"/>
    <n v="21075"/>
    <n v="1"/>
    <s v="Y"/>
    <x v="0"/>
    <n v="11"/>
    <n v="3"/>
    <n v="3"/>
    <x v="0"/>
    <n v="0"/>
    <n v="10"/>
    <n v="4"/>
    <n v="3"/>
    <n v="10"/>
    <n v="7"/>
    <x v="0"/>
    <n v="8"/>
  </r>
  <r>
    <n v="53"/>
    <x v="0"/>
    <x v="0"/>
    <n v="1168"/>
    <x v="0"/>
    <n v="24"/>
    <n v="4"/>
    <x v="0"/>
    <n v="1"/>
    <n v="1968"/>
    <n v="1"/>
    <x v="1"/>
    <n v="66"/>
    <n v="3"/>
    <x v="2"/>
    <s v="Sales Executive"/>
    <n v="1"/>
    <s v="Single"/>
    <x v="1289"/>
    <n v="5843"/>
    <n v="6"/>
    <s v="Y"/>
    <x v="0"/>
    <n v="13"/>
    <n v="3"/>
    <n v="2"/>
    <x v="0"/>
    <n v="0"/>
    <n v="15"/>
    <n v="2"/>
    <n v="2"/>
    <n v="2"/>
    <n v="2"/>
    <x v="3"/>
    <n v="2"/>
  </r>
  <r>
    <n v="54"/>
    <x v="1"/>
    <x v="0"/>
    <n v="155"/>
    <x v="1"/>
    <n v="9"/>
    <n v="2"/>
    <x v="0"/>
    <n v="1"/>
    <n v="1969"/>
    <n v="1"/>
    <x v="0"/>
    <n v="67"/>
    <n v="3"/>
    <x v="0"/>
    <s v="Research Scientist"/>
    <n v="3"/>
    <s v="Married"/>
    <x v="1290"/>
    <n v="22474"/>
    <n v="3"/>
    <s v="Y"/>
    <x v="1"/>
    <n v="11"/>
    <n v="3"/>
    <n v="3"/>
    <x v="0"/>
    <n v="2"/>
    <n v="9"/>
    <n v="6"/>
    <n v="2"/>
    <n v="4"/>
    <n v="3"/>
    <x v="3"/>
    <n v="3"/>
  </r>
  <r>
    <n v="33"/>
    <x v="1"/>
    <x v="1"/>
    <n v="1303"/>
    <x v="1"/>
    <n v="7"/>
    <n v="2"/>
    <x v="0"/>
    <n v="1"/>
    <n v="1970"/>
    <n v="4"/>
    <x v="1"/>
    <n v="36"/>
    <n v="3"/>
    <x v="0"/>
    <s v="Healthcare Representative"/>
    <n v="3"/>
    <s v="Divorced"/>
    <x v="1291"/>
    <n v="18079"/>
    <n v="1"/>
    <s v="Y"/>
    <x v="1"/>
    <n v="20"/>
    <n v="4"/>
    <n v="3"/>
    <x v="0"/>
    <n v="3"/>
    <n v="9"/>
    <n v="2"/>
    <n v="3"/>
    <n v="9"/>
    <n v="7"/>
    <x v="3"/>
    <n v="8"/>
  </r>
  <r>
    <n v="43"/>
    <x v="1"/>
    <x v="0"/>
    <n v="574"/>
    <x v="1"/>
    <n v="11"/>
    <n v="3"/>
    <x v="0"/>
    <n v="1"/>
    <n v="1971"/>
    <n v="1"/>
    <x v="1"/>
    <n v="30"/>
    <n v="3"/>
    <x v="2"/>
    <s v="Healthcare Representative"/>
    <n v="3"/>
    <s v="Married"/>
    <x v="1292"/>
    <n v="16873"/>
    <n v="1"/>
    <s v="Y"/>
    <x v="1"/>
    <n v="17"/>
    <n v="3"/>
    <n v="2"/>
    <x v="0"/>
    <n v="1"/>
    <n v="10"/>
    <n v="1"/>
    <n v="3"/>
    <n v="10"/>
    <n v="9"/>
    <x v="0"/>
    <n v="9"/>
  </r>
  <r>
    <n v="38"/>
    <x v="1"/>
    <x v="1"/>
    <n v="1444"/>
    <x v="2"/>
    <n v="1"/>
    <n v="4"/>
    <x v="1"/>
    <n v="1"/>
    <n v="1972"/>
    <n v="4"/>
    <x v="1"/>
    <n v="88"/>
    <n v="3"/>
    <x v="1"/>
    <s v="Human Resources"/>
    <n v="2"/>
    <s v="Married"/>
    <x v="1293"/>
    <n v="5224"/>
    <n v="0"/>
    <s v="Y"/>
    <x v="0"/>
    <n v="11"/>
    <n v="3"/>
    <n v="2"/>
    <x v="0"/>
    <n v="1"/>
    <n v="7"/>
    <n v="2"/>
    <n v="3"/>
    <n v="6"/>
    <n v="2"/>
    <x v="1"/>
    <n v="2"/>
  </r>
  <r>
    <n v="55"/>
    <x v="1"/>
    <x v="0"/>
    <n v="189"/>
    <x v="2"/>
    <n v="26"/>
    <n v="4"/>
    <x v="5"/>
    <n v="1"/>
    <n v="1973"/>
    <n v="3"/>
    <x v="1"/>
    <n v="71"/>
    <n v="4"/>
    <x v="4"/>
    <s v="Manager"/>
    <n v="2"/>
    <s v="Married"/>
    <x v="1294"/>
    <n v="25811"/>
    <n v="4"/>
    <s v="Y"/>
    <x v="0"/>
    <n v="18"/>
    <n v="3"/>
    <n v="1"/>
    <x v="0"/>
    <n v="1"/>
    <n v="35"/>
    <n v="0"/>
    <n v="3"/>
    <n v="10"/>
    <n v="9"/>
    <x v="1"/>
    <n v="4"/>
  </r>
  <r>
    <n v="31"/>
    <x v="1"/>
    <x v="0"/>
    <n v="1276"/>
    <x v="1"/>
    <n v="2"/>
    <n v="1"/>
    <x v="2"/>
    <n v="1"/>
    <n v="1974"/>
    <n v="4"/>
    <x v="0"/>
    <n v="59"/>
    <n v="1"/>
    <x v="1"/>
    <s v="Laboratory Technician"/>
    <n v="4"/>
    <s v="Divorced"/>
    <x v="1295"/>
    <n v="17536"/>
    <n v="1"/>
    <s v="Y"/>
    <x v="0"/>
    <n v="11"/>
    <n v="3"/>
    <n v="3"/>
    <x v="0"/>
    <n v="3"/>
    <n v="1"/>
    <n v="4"/>
    <n v="3"/>
    <n v="1"/>
    <n v="0"/>
    <x v="0"/>
    <n v="0"/>
  </r>
  <r>
    <n v="39"/>
    <x v="1"/>
    <x v="0"/>
    <n v="119"/>
    <x v="0"/>
    <n v="15"/>
    <n v="4"/>
    <x v="3"/>
    <n v="1"/>
    <n v="1975"/>
    <n v="2"/>
    <x v="1"/>
    <n v="77"/>
    <n v="3"/>
    <x v="3"/>
    <s v="Sales Executive"/>
    <n v="1"/>
    <s v="Single"/>
    <x v="1296"/>
    <n v="25098"/>
    <n v="0"/>
    <s v="Y"/>
    <x v="1"/>
    <n v="12"/>
    <n v="3"/>
    <n v="1"/>
    <x v="0"/>
    <n v="0"/>
    <n v="21"/>
    <n v="3"/>
    <n v="3"/>
    <n v="20"/>
    <n v="8"/>
    <x v="14"/>
    <n v="10"/>
  </r>
  <r>
    <n v="42"/>
    <x v="1"/>
    <x v="2"/>
    <n v="335"/>
    <x v="1"/>
    <n v="23"/>
    <n v="2"/>
    <x v="0"/>
    <n v="1"/>
    <n v="1976"/>
    <n v="4"/>
    <x v="1"/>
    <n v="37"/>
    <n v="2"/>
    <x v="0"/>
    <s v="Research Scientist"/>
    <n v="3"/>
    <s v="Single"/>
    <x v="1297"/>
    <n v="14811"/>
    <n v="1"/>
    <s v="Y"/>
    <x v="1"/>
    <n v="12"/>
    <n v="3"/>
    <n v="4"/>
    <x v="0"/>
    <n v="0"/>
    <n v="20"/>
    <n v="2"/>
    <n v="3"/>
    <n v="20"/>
    <n v="9"/>
    <x v="2"/>
    <n v="7"/>
  </r>
  <r>
    <n v="31"/>
    <x v="1"/>
    <x v="2"/>
    <n v="697"/>
    <x v="1"/>
    <n v="10"/>
    <n v="3"/>
    <x v="2"/>
    <n v="1"/>
    <n v="1979"/>
    <n v="3"/>
    <x v="0"/>
    <n v="40"/>
    <n v="3"/>
    <x v="2"/>
    <s v="Research Director"/>
    <n v="3"/>
    <s v="Married"/>
    <x v="1298"/>
    <n v="26862"/>
    <n v="4"/>
    <s v="Y"/>
    <x v="1"/>
    <n v="20"/>
    <n v="4"/>
    <n v="3"/>
    <x v="0"/>
    <n v="1"/>
    <n v="13"/>
    <n v="2"/>
    <n v="4"/>
    <n v="11"/>
    <n v="7"/>
    <x v="5"/>
    <n v="8"/>
  </r>
  <r>
    <n v="54"/>
    <x v="1"/>
    <x v="0"/>
    <n v="157"/>
    <x v="1"/>
    <n v="10"/>
    <n v="3"/>
    <x v="2"/>
    <n v="1"/>
    <n v="1980"/>
    <n v="3"/>
    <x v="0"/>
    <n v="77"/>
    <n v="3"/>
    <x v="0"/>
    <s v="Manufacturing Director"/>
    <n v="1"/>
    <s v="Single"/>
    <x v="1299"/>
    <n v="25198"/>
    <n v="6"/>
    <s v="Y"/>
    <x v="0"/>
    <n v="19"/>
    <n v="3"/>
    <n v="4"/>
    <x v="0"/>
    <n v="0"/>
    <n v="9"/>
    <n v="3"/>
    <n v="3"/>
    <n v="5"/>
    <n v="2"/>
    <x v="1"/>
    <n v="4"/>
  </r>
  <r>
    <n v="24"/>
    <x v="1"/>
    <x v="0"/>
    <n v="771"/>
    <x v="1"/>
    <n v="1"/>
    <n v="2"/>
    <x v="0"/>
    <n v="1"/>
    <n v="1981"/>
    <n v="2"/>
    <x v="1"/>
    <n v="45"/>
    <n v="2"/>
    <x v="0"/>
    <s v="Healthcare Representative"/>
    <n v="3"/>
    <s v="Single"/>
    <x v="1300"/>
    <n v="14120"/>
    <n v="1"/>
    <s v="Y"/>
    <x v="1"/>
    <n v="12"/>
    <n v="3"/>
    <n v="2"/>
    <x v="0"/>
    <n v="0"/>
    <n v="4"/>
    <n v="2"/>
    <n v="2"/>
    <n v="4"/>
    <n v="3"/>
    <x v="1"/>
    <n v="2"/>
  </r>
  <r>
    <n v="23"/>
    <x v="1"/>
    <x v="0"/>
    <n v="571"/>
    <x v="1"/>
    <n v="12"/>
    <n v="2"/>
    <x v="1"/>
    <n v="1"/>
    <n v="1982"/>
    <n v="4"/>
    <x v="1"/>
    <n v="78"/>
    <n v="3"/>
    <x v="1"/>
    <s v="Laboratory Technician"/>
    <n v="4"/>
    <s v="Single"/>
    <x v="1301"/>
    <n v="13672"/>
    <n v="1"/>
    <s v="Y"/>
    <x v="1"/>
    <n v="13"/>
    <n v="3"/>
    <n v="3"/>
    <x v="0"/>
    <n v="0"/>
    <n v="5"/>
    <n v="6"/>
    <n v="4"/>
    <n v="5"/>
    <n v="2"/>
    <x v="1"/>
    <n v="4"/>
  </r>
  <r>
    <n v="40"/>
    <x v="1"/>
    <x v="1"/>
    <n v="692"/>
    <x v="1"/>
    <n v="11"/>
    <n v="3"/>
    <x v="4"/>
    <n v="1"/>
    <n v="1985"/>
    <n v="4"/>
    <x v="0"/>
    <n v="73"/>
    <n v="3"/>
    <x v="0"/>
    <s v="Laboratory Technician"/>
    <n v="3"/>
    <s v="Married"/>
    <x v="1302"/>
    <n v="26849"/>
    <n v="1"/>
    <s v="Y"/>
    <x v="1"/>
    <n v="11"/>
    <n v="3"/>
    <n v="1"/>
    <x v="0"/>
    <n v="1"/>
    <n v="10"/>
    <n v="2"/>
    <n v="4"/>
    <n v="10"/>
    <n v="9"/>
    <x v="10"/>
    <n v="4"/>
  </r>
  <r>
    <n v="40"/>
    <x v="1"/>
    <x v="0"/>
    <n v="444"/>
    <x v="0"/>
    <n v="2"/>
    <n v="2"/>
    <x v="3"/>
    <n v="1"/>
    <n v="1986"/>
    <n v="2"/>
    <x v="0"/>
    <n v="92"/>
    <n v="3"/>
    <x v="0"/>
    <s v="Sales Executive"/>
    <n v="2"/>
    <s v="Married"/>
    <x v="1303"/>
    <n v="4258"/>
    <n v="3"/>
    <s v="Y"/>
    <x v="1"/>
    <n v="14"/>
    <n v="3"/>
    <n v="3"/>
    <x v="0"/>
    <n v="1"/>
    <n v="15"/>
    <n v="4"/>
    <n v="3"/>
    <n v="11"/>
    <n v="8"/>
    <x v="8"/>
    <n v="10"/>
  </r>
  <r>
    <n v="25"/>
    <x v="1"/>
    <x v="0"/>
    <n v="309"/>
    <x v="2"/>
    <n v="2"/>
    <n v="3"/>
    <x v="5"/>
    <n v="1"/>
    <n v="1987"/>
    <n v="3"/>
    <x v="0"/>
    <n v="82"/>
    <n v="3"/>
    <x v="1"/>
    <s v="Human Resources"/>
    <n v="2"/>
    <s v="Married"/>
    <x v="467"/>
    <n v="19655"/>
    <n v="4"/>
    <s v="Y"/>
    <x v="1"/>
    <n v="14"/>
    <n v="3"/>
    <n v="3"/>
    <x v="0"/>
    <n v="0"/>
    <n v="6"/>
    <n v="3"/>
    <n v="3"/>
    <n v="2"/>
    <n v="0"/>
    <x v="1"/>
    <n v="2"/>
  </r>
  <r>
    <n v="30"/>
    <x v="1"/>
    <x v="0"/>
    <n v="911"/>
    <x v="1"/>
    <n v="1"/>
    <n v="2"/>
    <x v="2"/>
    <n v="1"/>
    <n v="1989"/>
    <n v="4"/>
    <x v="1"/>
    <n v="76"/>
    <n v="3"/>
    <x v="1"/>
    <s v="Laboratory Technician"/>
    <n v="2"/>
    <s v="Married"/>
    <x v="1304"/>
    <n v="4077"/>
    <n v="1"/>
    <s v="Y"/>
    <x v="1"/>
    <n v="13"/>
    <n v="3"/>
    <n v="3"/>
    <x v="0"/>
    <n v="0"/>
    <n v="12"/>
    <n v="6"/>
    <n v="2"/>
    <n v="12"/>
    <n v="8"/>
    <x v="1"/>
    <n v="7"/>
  </r>
  <r>
    <n v="25"/>
    <x v="1"/>
    <x v="0"/>
    <n v="977"/>
    <x v="1"/>
    <n v="2"/>
    <n v="1"/>
    <x v="1"/>
    <n v="1"/>
    <n v="1992"/>
    <n v="4"/>
    <x v="1"/>
    <n v="57"/>
    <n v="3"/>
    <x v="1"/>
    <s v="Laboratory Technician"/>
    <n v="3"/>
    <s v="Divorced"/>
    <x v="1305"/>
    <n v="7298"/>
    <n v="6"/>
    <s v="Y"/>
    <x v="0"/>
    <n v="19"/>
    <n v="3"/>
    <n v="3"/>
    <x v="0"/>
    <n v="1"/>
    <n v="7"/>
    <n v="2"/>
    <n v="2"/>
    <n v="2"/>
    <n v="2"/>
    <x v="0"/>
    <n v="2"/>
  </r>
  <r>
    <n v="47"/>
    <x v="1"/>
    <x v="0"/>
    <n v="1180"/>
    <x v="1"/>
    <n v="25"/>
    <n v="3"/>
    <x v="2"/>
    <n v="1"/>
    <n v="1993"/>
    <n v="1"/>
    <x v="1"/>
    <n v="84"/>
    <n v="3"/>
    <x v="2"/>
    <s v="Healthcare Representative"/>
    <n v="3"/>
    <s v="Single"/>
    <x v="1306"/>
    <n v="13084"/>
    <n v="2"/>
    <s v="Y"/>
    <x v="1"/>
    <n v="23"/>
    <n v="4"/>
    <n v="2"/>
    <x v="0"/>
    <n v="0"/>
    <n v="25"/>
    <n v="3"/>
    <n v="3"/>
    <n v="17"/>
    <n v="14"/>
    <x v="12"/>
    <n v="11"/>
  </r>
  <r>
    <n v="33"/>
    <x v="1"/>
    <x v="2"/>
    <n v="1313"/>
    <x v="1"/>
    <n v="1"/>
    <n v="2"/>
    <x v="2"/>
    <n v="1"/>
    <n v="1994"/>
    <n v="2"/>
    <x v="1"/>
    <n v="59"/>
    <n v="2"/>
    <x v="1"/>
    <s v="Laboratory Technician"/>
    <n v="3"/>
    <s v="Divorced"/>
    <x v="641"/>
    <n v="20439"/>
    <n v="1"/>
    <s v="Y"/>
    <x v="1"/>
    <n v="12"/>
    <n v="3"/>
    <n v="3"/>
    <x v="0"/>
    <n v="3"/>
    <n v="1"/>
    <n v="2"/>
    <n v="2"/>
    <n v="1"/>
    <n v="1"/>
    <x v="0"/>
    <n v="0"/>
  </r>
  <r>
    <n v="38"/>
    <x v="1"/>
    <x v="0"/>
    <n v="1321"/>
    <x v="0"/>
    <n v="1"/>
    <n v="4"/>
    <x v="0"/>
    <n v="1"/>
    <n v="1995"/>
    <n v="4"/>
    <x v="1"/>
    <n v="86"/>
    <n v="3"/>
    <x v="0"/>
    <s v="Sales Executive"/>
    <n v="2"/>
    <s v="Married"/>
    <x v="1299"/>
    <n v="7636"/>
    <n v="0"/>
    <s v="Y"/>
    <x v="1"/>
    <n v="15"/>
    <n v="3"/>
    <n v="1"/>
    <x v="0"/>
    <n v="2"/>
    <n v="16"/>
    <n v="3"/>
    <n v="3"/>
    <n v="15"/>
    <n v="13"/>
    <x v="8"/>
    <n v="8"/>
  </r>
  <r>
    <n v="31"/>
    <x v="1"/>
    <x v="0"/>
    <n v="1154"/>
    <x v="0"/>
    <n v="2"/>
    <n v="2"/>
    <x v="0"/>
    <n v="1"/>
    <n v="1996"/>
    <n v="1"/>
    <x v="1"/>
    <n v="54"/>
    <n v="3"/>
    <x v="1"/>
    <s v="Sales Representative"/>
    <n v="3"/>
    <s v="Married"/>
    <x v="1307"/>
    <n v="6393"/>
    <n v="0"/>
    <s v="Y"/>
    <x v="1"/>
    <n v="19"/>
    <n v="3"/>
    <n v="3"/>
    <x v="0"/>
    <n v="1"/>
    <n v="3"/>
    <n v="1"/>
    <n v="3"/>
    <n v="2"/>
    <n v="2"/>
    <x v="1"/>
    <n v="2"/>
  </r>
  <r>
    <n v="38"/>
    <x v="1"/>
    <x v="1"/>
    <n v="508"/>
    <x v="1"/>
    <n v="6"/>
    <n v="4"/>
    <x v="0"/>
    <n v="1"/>
    <n v="1997"/>
    <n v="1"/>
    <x v="1"/>
    <n v="72"/>
    <n v="2"/>
    <x v="0"/>
    <s v="Manufacturing Director"/>
    <n v="3"/>
    <s v="Married"/>
    <x v="1308"/>
    <n v="14284"/>
    <n v="2"/>
    <s v="Y"/>
    <x v="1"/>
    <n v="11"/>
    <n v="3"/>
    <n v="4"/>
    <x v="0"/>
    <n v="1"/>
    <n v="10"/>
    <n v="1"/>
    <n v="3"/>
    <n v="8"/>
    <n v="3"/>
    <x v="4"/>
    <n v="7"/>
  </r>
  <r>
    <n v="42"/>
    <x v="1"/>
    <x v="0"/>
    <n v="557"/>
    <x v="1"/>
    <n v="18"/>
    <n v="4"/>
    <x v="0"/>
    <n v="1"/>
    <n v="1998"/>
    <n v="4"/>
    <x v="1"/>
    <n v="35"/>
    <n v="3"/>
    <x v="0"/>
    <s v="Research Scientist"/>
    <n v="1"/>
    <s v="Divorced"/>
    <x v="874"/>
    <n v="11189"/>
    <n v="6"/>
    <s v="Y"/>
    <x v="0"/>
    <n v="17"/>
    <n v="3"/>
    <n v="3"/>
    <x v="0"/>
    <n v="1"/>
    <n v="9"/>
    <n v="3"/>
    <n v="2"/>
    <n v="4"/>
    <n v="3"/>
    <x v="1"/>
    <n v="2"/>
  </r>
  <r>
    <n v="41"/>
    <x v="1"/>
    <x v="0"/>
    <n v="642"/>
    <x v="1"/>
    <n v="1"/>
    <n v="3"/>
    <x v="0"/>
    <n v="1"/>
    <n v="1999"/>
    <n v="4"/>
    <x v="1"/>
    <n v="76"/>
    <n v="3"/>
    <x v="1"/>
    <s v="Research Scientist"/>
    <n v="4"/>
    <s v="Married"/>
    <x v="553"/>
    <n v="21412"/>
    <n v="3"/>
    <s v="Y"/>
    <x v="1"/>
    <n v="22"/>
    <n v="4"/>
    <n v="1"/>
    <x v="0"/>
    <n v="1"/>
    <n v="12"/>
    <n v="3"/>
    <n v="3"/>
    <n v="5"/>
    <n v="3"/>
    <x v="1"/>
    <n v="0"/>
  </r>
  <r>
    <n v="47"/>
    <x v="1"/>
    <x v="2"/>
    <n v="1162"/>
    <x v="1"/>
    <n v="1"/>
    <n v="1"/>
    <x v="2"/>
    <n v="1"/>
    <n v="2000"/>
    <n v="3"/>
    <x v="0"/>
    <n v="98"/>
    <n v="3"/>
    <x v="2"/>
    <s v="Research Director"/>
    <n v="2"/>
    <s v="Married"/>
    <x v="1309"/>
    <n v="17231"/>
    <n v="0"/>
    <s v="Y"/>
    <x v="1"/>
    <n v="18"/>
    <n v="3"/>
    <n v="1"/>
    <x v="0"/>
    <n v="2"/>
    <n v="14"/>
    <n v="3"/>
    <n v="1"/>
    <n v="13"/>
    <n v="8"/>
    <x v="8"/>
    <n v="12"/>
  </r>
  <r>
    <n v="35"/>
    <x v="1"/>
    <x v="0"/>
    <n v="1490"/>
    <x v="1"/>
    <n v="11"/>
    <n v="4"/>
    <x v="2"/>
    <n v="1"/>
    <n v="2003"/>
    <n v="4"/>
    <x v="1"/>
    <n v="43"/>
    <n v="3"/>
    <x v="1"/>
    <s v="Laboratory Technician"/>
    <n v="3"/>
    <s v="Married"/>
    <x v="1310"/>
    <n v="20232"/>
    <n v="7"/>
    <s v="Y"/>
    <x v="0"/>
    <n v="11"/>
    <n v="3"/>
    <n v="3"/>
    <x v="0"/>
    <n v="1"/>
    <n v="5"/>
    <n v="3"/>
    <n v="3"/>
    <n v="2"/>
    <n v="2"/>
    <x v="3"/>
    <n v="2"/>
  </r>
  <r>
    <n v="22"/>
    <x v="1"/>
    <x v="0"/>
    <n v="581"/>
    <x v="1"/>
    <n v="1"/>
    <n v="2"/>
    <x v="0"/>
    <n v="1"/>
    <n v="2007"/>
    <n v="4"/>
    <x v="1"/>
    <n v="63"/>
    <n v="3"/>
    <x v="1"/>
    <s v="Research Scientist"/>
    <n v="3"/>
    <s v="Single"/>
    <x v="1311"/>
    <n v="17624"/>
    <n v="0"/>
    <s v="Y"/>
    <x v="1"/>
    <n v="12"/>
    <n v="3"/>
    <n v="4"/>
    <x v="0"/>
    <n v="0"/>
    <n v="4"/>
    <n v="2"/>
    <n v="4"/>
    <n v="3"/>
    <n v="2"/>
    <x v="1"/>
    <n v="2"/>
  </r>
  <r>
    <n v="35"/>
    <x v="1"/>
    <x v="0"/>
    <n v="1395"/>
    <x v="1"/>
    <n v="9"/>
    <n v="4"/>
    <x v="2"/>
    <n v="1"/>
    <n v="2008"/>
    <n v="2"/>
    <x v="1"/>
    <n v="48"/>
    <n v="3"/>
    <x v="0"/>
    <s v="Research Scientist"/>
    <n v="3"/>
    <s v="Single"/>
    <x v="1312"/>
    <n v="18698"/>
    <n v="1"/>
    <s v="Y"/>
    <x v="1"/>
    <n v="19"/>
    <n v="3"/>
    <n v="2"/>
    <x v="0"/>
    <n v="0"/>
    <n v="10"/>
    <n v="5"/>
    <n v="3"/>
    <n v="10"/>
    <n v="7"/>
    <x v="0"/>
    <n v="8"/>
  </r>
  <r>
    <n v="33"/>
    <x v="1"/>
    <x v="0"/>
    <n v="501"/>
    <x v="1"/>
    <n v="15"/>
    <n v="2"/>
    <x v="2"/>
    <n v="1"/>
    <n v="2009"/>
    <n v="2"/>
    <x v="0"/>
    <n v="95"/>
    <n v="3"/>
    <x v="0"/>
    <s v="Healthcare Representative"/>
    <n v="4"/>
    <s v="Married"/>
    <x v="1313"/>
    <n v="21653"/>
    <n v="0"/>
    <s v="Y"/>
    <x v="0"/>
    <n v="13"/>
    <n v="3"/>
    <n v="1"/>
    <x v="0"/>
    <n v="1"/>
    <n v="10"/>
    <n v="6"/>
    <n v="3"/>
    <n v="9"/>
    <n v="7"/>
    <x v="6"/>
    <n v="1"/>
  </r>
  <r>
    <n v="32"/>
    <x v="1"/>
    <x v="0"/>
    <n v="267"/>
    <x v="1"/>
    <n v="29"/>
    <n v="4"/>
    <x v="0"/>
    <n v="1"/>
    <n v="2010"/>
    <n v="3"/>
    <x v="0"/>
    <n v="49"/>
    <n v="2"/>
    <x v="1"/>
    <s v="Laboratory Technician"/>
    <n v="2"/>
    <s v="Single"/>
    <x v="1314"/>
    <n v="15919"/>
    <n v="1"/>
    <s v="Y"/>
    <x v="1"/>
    <n v="13"/>
    <n v="3"/>
    <n v="3"/>
    <x v="0"/>
    <n v="0"/>
    <n v="6"/>
    <n v="3"/>
    <n v="3"/>
    <n v="6"/>
    <n v="2"/>
    <x v="5"/>
    <n v="1"/>
  </r>
  <r>
    <n v="40"/>
    <x v="1"/>
    <x v="0"/>
    <n v="543"/>
    <x v="1"/>
    <n v="1"/>
    <n v="4"/>
    <x v="0"/>
    <n v="1"/>
    <n v="2012"/>
    <n v="1"/>
    <x v="1"/>
    <n v="83"/>
    <n v="3"/>
    <x v="1"/>
    <s v="Laboratory Technician"/>
    <n v="4"/>
    <s v="Married"/>
    <x v="58"/>
    <n v="4060"/>
    <n v="8"/>
    <s v="Y"/>
    <x v="1"/>
    <n v="19"/>
    <n v="3"/>
    <n v="3"/>
    <x v="0"/>
    <n v="2"/>
    <n v="8"/>
    <n v="3"/>
    <n v="2"/>
    <n v="1"/>
    <n v="0"/>
    <x v="0"/>
    <n v="0"/>
  </r>
  <r>
    <n v="32"/>
    <x v="1"/>
    <x v="0"/>
    <n v="234"/>
    <x v="0"/>
    <n v="1"/>
    <n v="4"/>
    <x v="2"/>
    <n v="1"/>
    <n v="2013"/>
    <n v="2"/>
    <x v="1"/>
    <n v="68"/>
    <n v="2"/>
    <x v="1"/>
    <s v="Sales Representative"/>
    <n v="2"/>
    <s v="Married"/>
    <x v="47"/>
    <n v="18024"/>
    <n v="0"/>
    <s v="Y"/>
    <x v="1"/>
    <n v="14"/>
    <n v="3"/>
    <n v="2"/>
    <x v="0"/>
    <n v="1"/>
    <n v="3"/>
    <n v="2"/>
    <n v="3"/>
    <n v="2"/>
    <n v="2"/>
    <x v="3"/>
    <n v="2"/>
  </r>
  <r>
    <n v="39"/>
    <x v="1"/>
    <x v="0"/>
    <n v="116"/>
    <x v="1"/>
    <n v="24"/>
    <n v="1"/>
    <x v="0"/>
    <n v="1"/>
    <n v="2014"/>
    <n v="1"/>
    <x v="1"/>
    <n v="52"/>
    <n v="3"/>
    <x v="0"/>
    <s v="Research Scientist"/>
    <n v="4"/>
    <s v="Single"/>
    <x v="1315"/>
    <n v="5340"/>
    <n v="7"/>
    <s v="Y"/>
    <x v="1"/>
    <n v="13"/>
    <n v="3"/>
    <n v="1"/>
    <x v="0"/>
    <n v="0"/>
    <n v="18"/>
    <n v="2"/>
    <n v="3"/>
    <n v="7"/>
    <n v="7"/>
    <x v="1"/>
    <n v="7"/>
  </r>
  <r>
    <n v="38"/>
    <x v="1"/>
    <x v="0"/>
    <n v="201"/>
    <x v="1"/>
    <n v="10"/>
    <n v="3"/>
    <x v="2"/>
    <n v="1"/>
    <n v="2015"/>
    <n v="2"/>
    <x v="0"/>
    <n v="99"/>
    <n v="1"/>
    <x v="2"/>
    <s v="Research Director"/>
    <n v="3"/>
    <s v="Married"/>
    <x v="1316"/>
    <n v="3376"/>
    <n v="3"/>
    <s v="Y"/>
    <x v="1"/>
    <n v="12"/>
    <n v="3"/>
    <n v="1"/>
    <x v="0"/>
    <n v="1"/>
    <n v="20"/>
    <n v="3"/>
    <n v="3"/>
    <n v="18"/>
    <n v="16"/>
    <x v="1"/>
    <n v="11"/>
  </r>
  <r>
    <n v="32"/>
    <x v="1"/>
    <x v="0"/>
    <n v="801"/>
    <x v="0"/>
    <n v="1"/>
    <n v="4"/>
    <x v="3"/>
    <n v="1"/>
    <n v="2016"/>
    <n v="3"/>
    <x v="0"/>
    <n v="48"/>
    <n v="3"/>
    <x v="2"/>
    <s v="Sales Executive"/>
    <n v="4"/>
    <s v="Married"/>
    <x v="1317"/>
    <n v="24032"/>
    <n v="1"/>
    <s v="Y"/>
    <x v="1"/>
    <n v="19"/>
    <n v="3"/>
    <n v="3"/>
    <x v="0"/>
    <n v="2"/>
    <n v="14"/>
    <n v="3"/>
    <n v="3"/>
    <n v="14"/>
    <n v="10"/>
    <x v="8"/>
    <n v="7"/>
  </r>
  <r>
    <n v="37"/>
    <x v="1"/>
    <x v="0"/>
    <n v="161"/>
    <x v="1"/>
    <n v="10"/>
    <n v="3"/>
    <x v="0"/>
    <n v="1"/>
    <n v="2017"/>
    <n v="3"/>
    <x v="0"/>
    <n v="42"/>
    <n v="4"/>
    <x v="2"/>
    <s v="Research Director"/>
    <n v="4"/>
    <s v="Married"/>
    <x v="1318"/>
    <n v="15471"/>
    <n v="1"/>
    <s v="Y"/>
    <x v="0"/>
    <n v="25"/>
    <n v="4"/>
    <n v="1"/>
    <x v="0"/>
    <n v="1"/>
    <n v="16"/>
    <n v="2"/>
    <n v="3"/>
    <n v="16"/>
    <n v="11"/>
    <x v="7"/>
    <n v="8"/>
  </r>
  <r>
    <n v="25"/>
    <x v="1"/>
    <x v="0"/>
    <n v="1382"/>
    <x v="0"/>
    <n v="8"/>
    <n v="2"/>
    <x v="1"/>
    <n v="1"/>
    <n v="2018"/>
    <n v="1"/>
    <x v="0"/>
    <n v="85"/>
    <n v="3"/>
    <x v="0"/>
    <s v="Sales Executive"/>
    <n v="3"/>
    <s v="Divorced"/>
    <x v="274"/>
    <n v="13684"/>
    <n v="0"/>
    <s v="Y"/>
    <x v="0"/>
    <n v="22"/>
    <n v="4"/>
    <n v="2"/>
    <x v="0"/>
    <n v="1"/>
    <n v="6"/>
    <n v="3"/>
    <n v="2"/>
    <n v="5"/>
    <n v="3"/>
    <x v="0"/>
    <n v="4"/>
  </r>
  <r>
    <n v="52"/>
    <x v="1"/>
    <x v="2"/>
    <n v="585"/>
    <x v="0"/>
    <n v="29"/>
    <n v="4"/>
    <x v="0"/>
    <n v="1"/>
    <n v="2019"/>
    <n v="1"/>
    <x v="1"/>
    <n v="40"/>
    <n v="3"/>
    <x v="1"/>
    <s v="Sales Representative"/>
    <n v="4"/>
    <s v="Divorced"/>
    <x v="1319"/>
    <n v="19788"/>
    <n v="2"/>
    <s v="Y"/>
    <x v="1"/>
    <n v="15"/>
    <n v="3"/>
    <n v="2"/>
    <x v="0"/>
    <n v="2"/>
    <n v="16"/>
    <n v="3"/>
    <n v="2"/>
    <n v="9"/>
    <n v="8"/>
    <x v="0"/>
    <n v="0"/>
  </r>
  <r>
    <n v="44"/>
    <x v="1"/>
    <x v="0"/>
    <n v="1037"/>
    <x v="1"/>
    <n v="1"/>
    <n v="3"/>
    <x v="2"/>
    <n v="1"/>
    <n v="2020"/>
    <n v="2"/>
    <x v="1"/>
    <n v="42"/>
    <n v="3"/>
    <x v="1"/>
    <s v="Research Scientist"/>
    <n v="4"/>
    <s v="Single"/>
    <x v="230"/>
    <n v="13422"/>
    <n v="6"/>
    <s v="Y"/>
    <x v="0"/>
    <n v="12"/>
    <n v="3"/>
    <n v="3"/>
    <x v="0"/>
    <n v="0"/>
    <n v="6"/>
    <n v="2"/>
    <n v="3"/>
    <n v="4"/>
    <n v="3"/>
    <x v="1"/>
    <n v="2"/>
  </r>
  <r>
    <n v="21"/>
    <x v="1"/>
    <x v="0"/>
    <n v="501"/>
    <x v="0"/>
    <n v="5"/>
    <n v="1"/>
    <x v="2"/>
    <n v="1"/>
    <n v="2021"/>
    <n v="3"/>
    <x v="1"/>
    <n v="58"/>
    <n v="3"/>
    <x v="1"/>
    <s v="Sales Representative"/>
    <n v="1"/>
    <s v="Single"/>
    <x v="631"/>
    <n v="25479"/>
    <n v="1"/>
    <s v="Y"/>
    <x v="0"/>
    <n v="11"/>
    <n v="3"/>
    <n v="4"/>
    <x v="0"/>
    <n v="0"/>
    <n v="2"/>
    <n v="6"/>
    <n v="3"/>
    <n v="2"/>
    <n v="2"/>
    <x v="1"/>
    <n v="2"/>
  </r>
  <r>
    <n v="39"/>
    <x v="1"/>
    <x v="2"/>
    <n v="105"/>
    <x v="1"/>
    <n v="9"/>
    <n v="3"/>
    <x v="0"/>
    <n v="1"/>
    <n v="2022"/>
    <n v="4"/>
    <x v="1"/>
    <n v="87"/>
    <n v="3"/>
    <x v="4"/>
    <s v="Manager"/>
    <n v="4"/>
    <s v="Single"/>
    <x v="1320"/>
    <n v="15302"/>
    <n v="2"/>
    <s v="Y"/>
    <x v="1"/>
    <n v="13"/>
    <n v="3"/>
    <n v="3"/>
    <x v="0"/>
    <n v="0"/>
    <n v="21"/>
    <n v="3"/>
    <n v="2"/>
    <n v="6"/>
    <n v="0"/>
    <x v="1"/>
    <n v="3"/>
  </r>
  <r>
    <n v="23"/>
    <x v="0"/>
    <x v="1"/>
    <n v="638"/>
    <x v="0"/>
    <n v="9"/>
    <n v="3"/>
    <x v="3"/>
    <n v="1"/>
    <n v="2023"/>
    <n v="4"/>
    <x v="1"/>
    <n v="33"/>
    <n v="3"/>
    <x v="1"/>
    <s v="Sales Representative"/>
    <n v="1"/>
    <s v="Married"/>
    <x v="1321"/>
    <n v="26956"/>
    <n v="1"/>
    <s v="Y"/>
    <x v="1"/>
    <n v="19"/>
    <n v="3"/>
    <n v="1"/>
    <x v="0"/>
    <n v="1"/>
    <n v="1"/>
    <n v="3"/>
    <n v="2"/>
    <n v="1"/>
    <n v="0"/>
    <x v="1"/>
    <n v="0"/>
  </r>
  <r>
    <n v="36"/>
    <x v="1"/>
    <x v="0"/>
    <n v="557"/>
    <x v="0"/>
    <n v="3"/>
    <n v="3"/>
    <x v="2"/>
    <n v="1"/>
    <n v="2024"/>
    <n v="1"/>
    <x v="0"/>
    <n v="94"/>
    <n v="2"/>
    <x v="2"/>
    <s v="Sales Executive"/>
    <n v="4"/>
    <s v="Married"/>
    <x v="1322"/>
    <n v="12695"/>
    <n v="0"/>
    <s v="Y"/>
    <x v="1"/>
    <n v="19"/>
    <n v="3"/>
    <n v="3"/>
    <x v="0"/>
    <n v="2"/>
    <n v="10"/>
    <n v="2"/>
    <n v="3"/>
    <n v="9"/>
    <n v="7"/>
    <x v="2"/>
    <n v="4"/>
  </r>
  <r>
    <n v="36"/>
    <x v="1"/>
    <x v="1"/>
    <n v="688"/>
    <x v="1"/>
    <n v="4"/>
    <n v="2"/>
    <x v="0"/>
    <n v="1"/>
    <n v="2025"/>
    <n v="4"/>
    <x v="0"/>
    <n v="97"/>
    <n v="3"/>
    <x v="0"/>
    <s v="Manufacturing Director"/>
    <n v="2"/>
    <s v="Divorced"/>
    <x v="1323"/>
    <n v="9192"/>
    <n v="7"/>
    <s v="Y"/>
    <x v="1"/>
    <n v="13"/>
    <n v="3"/>
    <n v="2"/>
    <x v="0"/>
    <n v="3"/>
    <n v="18"/>
    <n v="3"/>
    <n v="3"/>
    <n v="4"/>
    <n v="2"/>
    <x v="0"/>
    <n v="2"/>
  </r>
  <r>
    <n v="56"/>
    <x v="1"/>
    <x v="2"/>
    <n v="667"/>
    <x v="1"/>
    <n v="1"/>
    <n v="4"/>
    <x v="0"/>
    <n v="1"/>
    <n v="2026"/>
    <n v="3"/>
    <x v="1"/>
    <n v="57"/>
    <n v="3"/>
    <x v="0"/>
    <s v="Healthcare Representative"/>
    <n v="3"/>
    <s v="Divorced"/>
    <x v="1324"/>
    <n v="26236"/>
    <n v="1"/>
    <s v="Y"/>
    <x v="1"/>
    <n v="21"/>
    <n v="4"/>
    <n v="1"/>
    <x v="0"/>
    <n v="1"/>
    <n v="13"/>
    <n v="2"/>
    <n v="2"/>
    <n v="13"/>
    <n v="12"/>
    <x v="1"/>
    <n v="9"/>
  </r>
  <r>
    <n v="29"/>
    <x v="0"/>
    <x v="0"/>
    <n v="1092"/>
    <x v="1"/>
    <n v="1"/>
    <n v="4"/>
    <x v="2"/>
    <n v="1"/>
    <n v="2027"/>
    <n v="1"/>
    <x v="1"/>
    <n v="36"/>
    <n v="3"/>
    <x v="1"/>
    <s v="Research Scientist"/>
    <n v="4"/>
    <s v="Married"/>
    <x v="1325"/>
    <n v="26124"/>
    <n v="9"/>
    <s v="Y"/>
    <x v="0"/>
    <n v="14"/>
    <n v="3"/>
    <n v="2"/>
    <x v="0"/>
    <n v="3"/>
    <n v="4"/>
    <n v="3"/>
    <n v="4"/>
    <n v="2"/>
    <n v="2"/>
    <x v="3"/>
    <n v="2"/>
  </r>
  <r>
    <n v="42"/>
    <x v="1"/>
    <x v="0"/>
    <n v="300"/>
    <x v="1"/>
    <n v="2"/>
    <n v="3"/>
    <x v="0"/>
    <n v="1"/>
    <n v="2031"/>
    <n v="1"/>
    <x v="1"/>
    <n v="56"/>
    <n v="3"/>
    <x v="4"/>
    <s v="Manager"/>
    <n v="3"/>
    <s v="Married"/>
    <x v="1326"/>
    <n v="17312"/>
    <n v="5"/>
    <s v="Y"/>
    <x v="1"/>
    <n v="11"/>
    <n v="3"/>
    <n v="1"/>
    <x v="0"/>
    <n v="0"/>
    <n v="24"/>
    <n v="2"/>
    <n v="2"/>
    <n v="22"/>
    <n v="6"/>
    <x v="5"/>
    <n v="14"/>
  </r>
  <r>
    <n v="56"/>
    <x v="0"/>
    <x v="0"/>
    <n v="310"/>
    <x v="1"/>
    <n v="7"/>
    <n v="2"/>
    <x v="4"/>
    <n v="1"/>
    <n v="2032"/>
    <n v="4"/>
    <x v="1"/>
    <n v="72"/>
    <n v="3"/>
    <x v="1"/>
    <s v="Laboratory Technician"/>
    <n v="3"/>
    <s v="Married"/>
    <x v="1327"/>
    <n v="3666"/>
    <n v="8"/>
    <s v="Y"/>
    <x v="1"/>
    <n v="11"/>
    <n v="3"/>
    <n v="4"/>
    <x v="0"/>
    <n v="1"/>
    <n v="14"/>
    <n v="4"/>
    <n v="1"/>
    <n v="10"/>
    <n v="9"/>
    <x v="10"/>
    <n v="8"/>
  </r>
  <r>
    <n v="41"/>
    <x v="1"/>
    <x v="0"/>
    <n v="582"/>
    <x v="1"/>
    <n v="28"/>
    <n v="4"/>
    <x v="0"/>
    <n v="1"/>
    <n v="2034"/>
    <n v="1"/>
    <x v="0"/>
    <n v="60"/>
    <n v="2"/>
    <x v="3"/>
    <s v="Manufacturing Director"/>
    <n v="2"/>
    <s v="Married"/>
    <x v="1328"/>
    <n v="5640"/>
    <n v="0"/>
    <s v="Y"/>
    <x v="1"/>
    <n v="23"/>
    <n v="4"/>
    <n v="3"/>
    <x v="0"/>
    <n v="1"/>
    <n v="21"/>
    <n v="3"/>
    <n v="3"/>
    <n v="20"/>
    <n v="7"/>
    <x v="0"/>
    <n v="10"/>
  </r>
  <r>
    <n v="34"/>
    <x v="1"/>
    <x v="0"/>
    <n v="704"/>
    <x v="0"/>
    <n v="28"/>
    <n v="3"/>
    <x v="3"/>
    <n v="1"/>
    <n v="2035"/>
    <n v="4"/>
    <x v="0"/>
    <n v="95"/>
    <n v="2"/>
    <x v="0"/>
    <s v="Sales Executive"/>
    <n v="3"/>
    <s v="Married"/>
    <x v="1329"/>
    <n v="8978"/>
    <n v="1"/>
    <s v="Y"/>
    <x v="1"/>
    <n v="21"/>
    <n v="4"/>
    <n v="4"/>
    <x v="0"/>
    <n v="2"/>
    <n v="8"/>
    <n v="2"/>
    <n v="3"/>
    <n v="8"/>
    <n v="7"/>
    <x v="1"/>
    <n v="7"/>
  </r>
  <r>
    <n v="36"/>
    <x v="1"/>
    <x v="2"/>
    <n v="301"/>
    <x v="0"/>
    <n v="15"/>
    <n v="4"/>
    <x v="3"/>
    <n v="1"/>
    <n v="2036"/>
    <n v="4"/>
    <x v="1"/>
    <n v="88"/>
    <n v="1"/>
    <x v="0"/>
    <s v="Sales Executive"/>
    <n v="4"/>
    <s v="Divorced"/>
    <x v="1330"/>
    <n v="10436"/>
    <n v="1"/>
    <s v="Y"/>
    <x v="1"/>
    <n v="24"/>
    <n v="4"/>
    <n v="1"/>
    <x v="0"/>
    <n v="1"/>
    <n v="15"/>
    <n v="4"/>
    <n v="2"/>
    <n v="15"/>
    <n v="12"/>
    <x v="14"/>
    <n v="11"/>
  </r>
  <r>
    <n v="41"/>
    <x v="1"/>
    <x v="0"/>
    <n v="930"/>
    <x v="0"/>
    <n v="3"/>
    <n v="3"/>
    <x v="0"/>
    <n v="1"/>
    <n v="2037"/>
    <n v="3"/>
    <x v="1"/>
    <n v="57"/>
    <n v="2"/>
    <x v="0"/>
    <s v="Sales Executive"/>
    <n v="2"/>
    <s v="Divorced"/>
    <x v="1331"/>
    <n v="12227"/>
    <n v="2"/>
    <s v="Y"/>
    <x v="1"/>
    <n v="11"/>
    <n v="3"/>
    <n v="3"/>
    <x v="0"/>
    <n v="1"/>
    <n v="14"/>
    <n v="5"/>
    <n v="3"/>
    <n v="5"/>
    <n v="4"/>
    <x v="0"/>
    <n v="4"/>
  </r>
  <r>
    <n v="32"/>
    <x v="1"/>
    <x v="0"/>
    <n v="529"/>
    <x v="1"/>
    <n v="2"/>
    <n v="3"/>
    <x v="4"/>
    <n v="1"/>
    <n v="2038"/>
    <n v="4"/>
    <x v="1"/>
    <n v="78"/>
    <n v="3"/>
    <x v="1"/>
    <s v="Research Scientist"/>
    <n v="1"/>
    <s v="Single"/>
    <x v="1234"/>
    <n v="11288"/>
    <n v="1"/>
    <s v="Y"/>
    <x v="1"/>
    <n v="14"/>
    <n v="3"/>
    <n v="4"/>
    <x v="0"/>
    <n v="0"/>
    <n v="4"/>
    <n v="4"/>
    <n v="3"/>
    <n v="4"/>
    <n v="2"/>
    <x v="1"/>
    <n v="2"/>
  </r>
  <r>
    <n v="35"/>
    <x v="1"/>
    <x v="0"/>
    <n v="1146"/>
    <x v="2"/>
    <n v="26"/>
    <n v="4"/>
    <x v="0"/>
    <n v="1"/>
    <n v="2040"/>
    <n v="3"/>
    <x v="0"/>
    <n v="31"/>
    <n v="3"/>
    <x v="2"/>
    <s v="Human Resources"/>
    <n v="4"/>
    <s v="Single"/>
    <x v="1332"/>
    <n v="16642"/>
    <n v="1"/>
    <s v="Y"/>
    <x v="0"/>
    <n v="16"/>
    <n v="3"/>
    <n v="3"/>
    <x v="0"/>
    <n v="0"/>
    <n v="9"/>
    <n v="2"/>
    <n v="3"/>
    <n v="9"/>
    <n v="0"/>
    <x v="1"/>
    <n v="7"/>
  </r>
  <r>
    <n v="38"/>
    <x v="1"/>
    <x v="0"/>
    <n v="345"/>
    <x v="0"/>
    <n v="10"/>
    <n v="2"/>
    <x v="0"/>
    <n v="1"/>
    <n v="2041"/>
    <n v="1"/>
    <x v="0"/>
    <n v="100"/>
    <n v="3"/>
    <x v="0"/>
    <s v="Sales Executive"/>
    <n v="4"/>
    <s v="Married"/>
    <x v="798"/>
    <n v="5982"/>
    <n v="1"/>
    <s v="Y"/>
    <x v="1"/>
    <n v="11"/>
    <n v="3"/>
    <n v="3"/>
    <x v="0"/>
    <n v="1"/>
    <n v="10"/>
    <n v="1"/>
    <n v="3"/>
    <n v="10"/>
    <n v="7"/>
    <x v="1"/>
    <n v="9"/>
  </r>
  <r>
    <n v="50"/>
    <x v="0"/>
    <x v="1"/>
    <n v="878"/>
    <x v="0"/>
    <n v="1"/>
    <n v="4"/>
    <x v="0"/>
    <n v="1"/>
    <n v="2044"/>
    <n v="2"/>
    <x v="1"/>
    <n v="94"/>
    <n v="3"/>
    <x v="0"/>
    <s v="Sales Executive"/>
    <n v="3"/>
    <s v="Divorced"/>
    <x v="1333"/>
    <n v="14255"/>
    <n v="7"/>
    <s v="Y"/>
    <x v="1"/>
    <n v="12"/>
    <n v="3"/>
    <n v="4"/>
    <x v="0"/>
    <n v="2"/>
    <n v="12"/>
    <n v="3"/>
    <n v="3"/>
    <n v="6"/>
    <n v="3"/>
    <x v="0"/>
    <n v="1"/>
  </r>
  <r>
    <n v="36"/>
    <x v="1"/>
    <x v="0"/>
    <n v="1120"/>
    <x v="0"/>
    <n v="11"/>
    <n v="4"/>
    <x v="3"/>
    <n v="1"/>
    <n v="2045"/>
    <n v="2"/>
    <x v="0"/>
    <n v="100"/>
    <n v="2"/>
    <x v="0"/>
    <s v="Sales Executive"/>
    <n v="4"/>
    <s v="Married"/>
    <x v="1334"/>
    <n v="14369"/>
    <n v="4"/>
    <s v="Y"/>
    <x v="1"/>
    <n v="13"/>
    <n v="3"/>
    <n v="1"/>
    <x v="0"/>
    <n v="1"/>
    <n v="8"/>
    <n v="2"/>
    <n v="2"/>
    <n v="6"/>
    <n v="3"/>
    <x v="0"/>
    <n v="0"/>
  </r>
  <r>
    <n v="45"/>
    <x v="1"/>
    <x v="0"/>
    <n v="374"/>
    <x v="0"/>
    <n v="20"/>
    <n v="3"/>
    <x v="0"/>
    <n v="1"/>
    <n v="2046"/>
    <n v="4"/>
    <x v="0"/>
    <n v="50"/>
    <n v="3"/>
    <x v="0"/>
    <s v="Sales Executive"/>
    <n v="3"/>
    <s v="Single"/>
    <x v="1335"/>
    <n v="23333"/>
    <n v="8"/>
    <s v="Y"/>
    <x v="1"/>
    <n v="15"/>
    <n v="3"/>
    <n v="3"/>
    <x v="0"/>
    <n v="0"/>
    <n v="8"/>
    <n v="3"/>
    <n v="3"/>
    <n v="5"/>
    <n v="3"/>
    <x v="0"/>
    <n v="1"/>
  </r>
  <r>
    <n v="40"/>
    <x v="1"/>
    <x v="0"/>
    <n v="1322"/>
    <x v="1"/>
    <n v="2"/>
    <n v="4"/>
    <x v="0"/>
    <n v="1"/>
    <n v="2048"/>
    <n v="3"/>
    <x v="1"/>
    <n v="52"/>
    <n v="2"/>
    <x v="1"/>
    <s v="Research Scientist"/>
    <n v="3"/>
    <s v="Single"/>
    <x v="1336"/>
    <n v="2725"/>
    <n v="2"/>
    <s v="Y"/>
    <x v="1"/>
    <n v="14"/>
    <n v="3"/>
    <n v="4"/>
    <x v="0"/>
    <n v="0"/>
    <n v="8"/>
    <n v="2"/>
    <n v="3"/>
    <n v="2"/>
    <n v="2"/>
    <x v="3"/>
    <n v="2"/>
  </r>
  <r>
    <n v="35"/>
    <x v="1"/>
    <x v="1"/>
    <n v="1199"/>
    <x v="1"/>
    <n v="18"/>
    <n v="4"/>
    <x v="0"/>
    <n v="1"/>
    <n v="2049"/>
    <n v="3"/>
    <x v="1"/>
    <n v="80"/>
    <n v="3"/>
    <x v="0"/>
    <s v="Healthcare Representative"/>
    <n v="3"/>
    <s v="Married"/>
    <x v="1337"/>
    <n v="24594"/>
    <n v="1"/>
    <s v="Y"/>
    <x v="0"/>
    <n v="14"/>
    <n v="3"/>
    <n v="4"/>
    <x v="0"/>
    <n v="2"/>
    <n v="10"/>
    <n v="2"/>
    <n v="4"/>
    <n v="10"/>
    <n v="2"/>
    <x v="0"/>
    <n v="2"/>
  </r>
  <r>
    <n v="40"/>
    <x v="1"/>
    <x v="0"/>
    <n v="1194"/>
    <x v="1"/>
    <n v="2"/>
    <n v="4"/>
    <x v="2"/>
    <n v="1"/>
    <n v="2051"/>
    <n v="3"/>
    <x v="0"/>
    <n v="98"/>
    <n v="3"/>
    <x v="1"/>
    <s v="Research Scientist"/>
    <n v="3"/>
    <s v="Married"/>
    <x v="1338"/>
    <n v="12549"/>
    <n v="2"/>
    <s v="Y"/>
    <x v="1"/>
    <n v="14"/>
    <n v="3"/>
    <n v="2"/>
    <x v="0"/>
    <n v="3"/>
    <n v="20"/>
    <n v="2"/>
    <n v="3"/>
    <n v="5"/>
    <n v="3"/>
    <x v="0"/>
    <n v="2"/>
  </r>
  <r>
    <n v="35"/>
    <x v="1"/>
    <x v="0"/>
    <n v="287"/>
    <x v="1"/>
    <n v="1"/>
    <n v="4"/>
    <x v="0"/>
    <n v="1"/>
    <n v="2052"/>
    <n v="3"/>
    <x v="0"/>
    <n v="62"/>
    <n v="1"/>
    <x v="1"/>
    <s v="Research Scientist"/>
    <n v="4"/>
    <s v="Married"/>
    <x v="1339"/>
    <n v="8952"/>
    <n v="1"/>
    <s v="Y"/>
    <x v="1"/>
    <n v="12"/>
    <n v="3"/>
    <n v="4"/>
    <x v="0"/>
    <n v="1"/>
    <n v="4"/>
    <n v="5"/>
    <n v="3"/>
    <n v="4"/>
    <n v="3"/>
    <x v="1"/>
    <n v="1"/>
  </r>
  <r>
    <n v="29"/>
    <x v="1"/>
    <x v="0"/>
    <n v="1378"/>
    <x v="1"/>
    <n v="13"/>
    <n v="2"/>
    <x v="1"/>
    <n v="1"/>
    <n v="2053"/>
    <n v="4"/>
    <x v="1"/>
    <n v="46"/>
    <n v="2"/>
    <x v="0"/>
    <s v="Laboratory Technician"/>
    <n v="2"/>
    <s v="Married"/>
    <x v="717"/>
    <n v="23679"/>
    <n v="4"/>
    <s v="Y"/>
    <x v="0"/>
    <n v="13"/>
    <n v="3"/>
    <n v="1"/>
    <x v="0"/>
    <n v="1"/>
    <n v="10"/>
    <n v="2"/>
    <n v="3"/>
    <n v="4"/>
    <n v="3"/>
    <x v="0"/>
    <n v="3"/>
  </r>
  <r>
    <n v="29"/>
    <x v="1"/>
    <x v="0"/>
    <n v="468"/>
    <x v="1"/>
    <n v="28"/>
    <n v="4"/>
    <x v="2"/>
    <n v="1"/>
    <n v="2054"/>
    <n v="4"/>
    <x v="0"/>
    <n v="73"/>
    <n v="2"/>
    <x v="1"/>
    <s v="Research Scientist"/>
    <n v="1"/>
    <s v="Single"/>
    <x v="1340"/>
    <n v="8489"/>
    <n v="1"/>
    <s v="Y"/>
    <x v="1"/>
    <n v="14"/>
    <n v="3"/>
    <n v="2"/>
    <x v="0"/>
    <n v="0"/>
    <n v="5"/>
    <n v="3"/>
    <n v="1"/>
    <n v="5"/>
    <n v="4"/>
    <x v="0"/>
    <n v="4"/>
  </r>
  <r>
    <n v="50"/>
    <x v="0"/>
    <x v="0"/>
    <n v="410"/>
    <x v="0"/>
    <n v="28"/>
    <n v="3"/>
    <x v="3"/>
    <n v="1"/>
    <n v="2055"/>
    <n v="4"/>
    <x v="1"/>
    <n v="39"/>
    <n v="2"/>
    <x v="2"/>
    <s v="Sales Executive"/>
    <n v="1"/>
    <s v="Divorced"/>
    <x v="1341"/>
    <n v="16586"/>
    <n v="4"/>
    <s v="Y"/>
    <x v="0"/>
    <n v="13"/>
    <n v="3"/>
    <n v="2"/>
    <x v="0"/>
    <n v="1"/>
    <n v="20"/>
    <n v="3"/>
    <n v="3"/>
    <n v="3"/>
    <n v="2"/>
    <x v="3"/>
    <n v="0"/>
  </r>
  <r>
    <n v="39"/>
    <x v="1"/>
    <x v="0"/>
    <n v="722"/>
    <x v="0"/>
    <n v="24"/>
    <n v="1"/>
    <x v="3"/>
    <n v="1"/>
    <n v="2056"/>
    <n v="2"/>
    <x v="0"/>
    <n v="60"/>
    <n v="2"/>
    <x v="3"/>
    <s v="Sales Executive"/>
    <n v="4"/>
    <s v="Married"/>
    <x v="1342"/>
    <n v="8828"/>
    <n v="0"/>
    <s v="Y"/>
    <x v="1"/>
    <n v="11"/>
    <n v="3"/>
    <n v="1"/>
    <x v="0"/>
    <n v="1"/>
    <n v="21"/>
    <n v="2"/>
    <n v="2"/>
    <n v="20"/>
    <n v="9"/>
    <x v="10"/>
    <n v="6"/>
  </r>
  <r>
    <n v="31"/>
    <x v="1"/>
    <x v="2"/>
    <n v="325"/>
    <x v="1"/>
    <n v="5"/>
    <n v="3"/>
    <x v="2"/>
    <n v="1"/>
    <n v="2057"/>
    <n v="2"/>
    <x v="1"/>
    <n v="74"/>
    <n v="3"/>
    <x v="0"/>
    <s v="Manufacturing Director"/>
    <n v="1"/>
    <s v="Single"/>
    <x v="1343"/>
    <n v="3787"/>
    <n v="0"/>
    <s v="Y"/>
    <x v="1"/>
    <n v="19"/>
    <n v="3"/>
    <n v="2"/>
    <x v="0"/>
    <n v="0"/>
    <n v="10"/>
    <n v="2"/>
    <n v="3"/>
    <n v="9"/>
    <n v="4"/>
    <x v="1"/>
    <n v="7"/>
  </r>
  <r>
    <n v="26"/>
    <x v="1"/>
    <x v="0"/>
    <n v="1167"/>
    <x v="0"/>
    <n v="5"/>
    <n v="3"/>
    <x v="1"/>
    <n v="1"/>
    <n v="2060"/>
    <n v="4"/>
    <x v="0"/>
    <n v="30"/>
    <n v="2"/>
    <x v="1"/>
    <s v="Sales Representative"/>
    <n v="3"/>
    <s v="Single"/>
    <x v="1344"/>
    <n v="21378"/>
    <n v="0"/>
    <s v="Y"/>
    <x v="1"/>
    <n v="18"/>
    <n v="3"/>
    <n v="4"/>
    <x v="0"/>
    <n v="0"/>
    <n v="5"/>
    <n v="2"/>
    <n v="3"/>
    <n v="4"/>
    <n v="2"/>
    <x v="0"/>
    <n v="0"/>
  </r>
  <r>
    <n v="36"/>
    <x v="1"/>
    <x v="1"/>
    <n v="884"/>
    <x v="1"/>
    <n v="23"/>
    <n v="2"/>
    <x v="2"/>
    <n v="1"/>
    <n v="2061"/>
    <n v="3"/>
    <x v="1"/>
    <n v="41"/>
    <n v="4"/>
    <x v="0"/>
    <s v="Laboratory Technician"/>
    <n v="4"/>
    <s v="Married"/>
    <x v="1345"/>
    <n v="12290"/>
    <n v="4"/>
    <s v="Y"/>
    <x v="1"/>
    <n v="17"/>
    <n v="3"/>
    <n v="3"/>
    <x v="0"/>
    <n v="1"/>
    <n v="17"/>
    <n v="3"/>
    <n v="3"/>
    <n v="5"/>
    <n v="2"/>
    <x v="0"/>
    <n v="3"/>
  </r>
  <r>
    <n v="39"/>
    <x v="1"/>
    <x v="0"/>
    <n v="613"/>
    <x v="1"/>
    <n v="6"/>
    <n v="1"/>
    <x v="2"/>
    <n v="1"/>
    <n v="2062"/>
    <n v="4"/>
    <x v="1"/>
    <n v="42"/>
    <n v="2"/>
    <x v="2"/>
    <s v="Healthcare Representative"/>
    <n v="1"/>
    <s v="Married"/>
    <x v="1346"/>
    <n v="21457"/>
    <n v="4"/>
    <s v="Y"/>
    <x v="1"/>
    <n v="15"/>
    <n v="3"/>
    <n v="1"/>
    <x v="0"/>
    <n v="1"/>
    <n v="9"/>
    <n v="5"/>
    <n v="3"/>
    <n v="7"/>
    <n v="7"/>
    <x v="1"/>
    <n v="7"/>
  </r>
  <r>
    <n v="27"/>
    <x v="1"/>
    <x v="0"/>
    <n v="155"/>
    <x v="1"/>
    <n v="4"/>
    <n v="3"/>
    <x v="0"/>
    <n v="1"/>
    <n v="2064"/>
    <n v="2"/>
    <x v="1"/>
    <n v="87"/>
    <n v="4"/>
    <x v="0"/>
    <s v="Manufacturing Director"/>
    <n v="2"/>
    <s v="Married"/>
    <x v="528"/>
    <n v="5174"/>
    <n v="1"/>
    <s v="Y"/>
    <x v="0"/>
    <n v="20"/>
    <n v="4"/>
    <n v="2"/>
    <x v="0"/>
    <n v="1"/>
    <n v="6"/>
    <n v="0"/>
    <n v="3"/>
    <n v="6"/>
    <n v="2"/>
    <x v="0"/>
    <n v="3"/>
  </r>
  <r>
    <n v="49"/>
    <x v="1"/>
    <x v="1"/>
    <n v="1023"/>
    <x v="0"/>
    <n v="2"/>
    <n v="3"/>
    <x v="2"/>
    <n v="1"/>
    <n v="2065"/>
    <n v="4"/>
    <x v="1"/>
    <n v="63"/>
    <n v="2"/>
    <x v="0"/>
    <s v="Sales Executive"/>
    <n v="2"/>
    <s v="Married"/>
    <x v="1347"/>
    <n v="13243"/>
    <n v="2"/>
    <s v="Y"/>
    <x v="1"/>
    <n v="14"/>
    <n v="3"/>
    <n v="4"/>
    <x v="0"/>
    <n v="0"/>
    <n v="17"/>
    <n v="3"/>
    <n v="2"/>
    <n v="9"/>
    <n v="6"/>
    <x v="0"/>
    <n v="8"/>
  </r>
  <r>
    <n v="34"/>
    <x v="1"/>
    <x v="0"/>
    <n v="628"/>
    <x v="1"/>
    <n v="8"/>
    <n v="3"/>
    <x v="2"/>
    <n v="1"/>
    <n v="2068"/>
    <n v="2"/>
    <x v="1"/>
    <n v="82"/>
    <n v="4"/>
    <x v="0"/>
    <s v="Laboratory Technician"/>
    <n v="3"/>
    <s v="Married"/>
    <x v="1348"/>
    <n v="10228"/>
    <n v="2"/>
    <s v="Y"/>
    <x v="1"/>
    <n v="12"/>
    <n v="3"/>
    <n v="1"/>
    <x v="0"/>
    <n v="0"/>
    <n v="6"/>
    <n v="3"/>
    <n v="4"/>
    <n v="4"/>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34B537-ED55-45F0-8AA5-F9B5199D293D}" name="PivotTable69"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 Time">
  <location ref="C5:D8" firstHeaderRow="1" firstDataRow="1" firstDataCol="1"/>
  <pivotFields count="35">
    <pivotField showAll="0"/>
    <pivotField showAll="0"/>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Count of EmployeeNumber" fld="9" subtotal="count"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294EBD-06FA-45A5-934E-4A72D057C596}" name="PivotTable62"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35">
    <pivotField showAll="0"/>
    <pivotField showAll="0"/>
    <pivotField showAll="0"/>
    <pivotField showAll="0"/>
    <pivotField showAll="0"/>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Coun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493815-8719-4C6A-BE64-CCC0606C6B99}" name="PivotTable59"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9" firstHeaderRow="1" firstDataRow="1" firstDataCol="1"/>
  <pivotFields count="35">
    <pivotField showAll="0"/>
    <pivotField axis="axisRow" showAll="0">
      <items count="3">
        <item x="1"/>
        <item x="0"/>
        <item t="default"/>
      </items>
    </pivotField>
    <pivotField showAll="0"/>
    <pivotField showAll="0"/>
    <pivotField showAll="0"/>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Count" fld="8"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073D67-D3E1-45D9-88E6-7B113E271B55}" name="PivotTable68"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Business Travel">
  <location ref="A93:B97" firstHeaderRow="1" firstDataRow="1" firstDataCol="1"/>
  <pivotFields count="35">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2"/>
    </i>
    <i>
      <x v="1"/>
    </i>
    <i>
      <x/>
    </i>
    <i t="grand">
      <x/>
    </i>
  </rowItems>
  <colItems count="1">
    <i/>
  </colItems>
  <dataFields count="1">
    <dataField name="Count of EmployeeNumber" fld="9" subtotal="count" baseField="2" baseItem="2"/>
  </dataFields>
  <chartFormats count="5">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2"/>
          </reference>
        </references>
      </pivotArea>
    </chartFormat>
    <chartFormat chart="8" format="4">
      <pivotArea type="data" outline="0" fieldPosition="0">
        <references count="2">
          <reference field="4294967294" count="1" selected="0">
            <x v="0"/>
          </reference>
          <reference field="2" count="1" selected="0">
            <x v="1"/>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FC1D51-36B1-4BB5-9438-ADF55554D024}" name="PivotTable67"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82:B86" firstHeaderRow="1" firstDataRow="1" firstDataCol="1"/>
  <pivotFields count="35">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2"/>
    </i>
    <i>
      <x v="1"/>
    </i>
    <i t="grand">
      <x/>
    </i>
  </rowItems>
  <colItems count="1">
    <i/>
  </colItems>
  <dataFields count="1">
    <dataField name="Average of PercentSalaryHike" fld="23" subtotal="average" baseField="0" baseItem="0" numFmtId="2"/>
  </dataFields>
  <formats count="2">
    <format dxfId="31">
      <pivotArea collapsedLevelsAreSubtotals="1" fieldPosition="0">
        <references count="1">
          <reference field="4" count="0"/>
        </references>
      </pivotArea>
    </format>
    <format dxfId="30">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2"/>
          </reference>
        </references>
      </pivotArea>
    </chartFormat>
    <chartFormat chart="6"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092C0F-0E56-400F-91DD-564EAA5FF37D}" name="PivotTable64"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s Since Last Promotion">
  <location ref="A63:B80" firstHeaderRow="1" firstDataRow="1" firstDataCol="1"/>
  <pivotFields count="35">
    <pivotField showAll="0"/>
    <pivotField showAll="0"/>
    <pivotField showAll="0"/>
    <pivotField showAll="0"/>
    <pivotField showAll="0"/>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7">
        <item x="0"/>
        <item x="1"/>
        <item x="3"/>
        <item x="2"/>
        <item x="5"/>
        <item x="8"/>
        <item x="7"/>
        <item x="4"/>
        <item x="6"/>
        <item x="10"/>
        <item x="13"/>
        <item x="14"/>
        <item x="12"/>
        <item x="11"/>
        <item x="15"/>
        <item x="9"/>
        <item t="default"/>
      </items>
      <autoSortScope>
        <pivotArea dataOnly="0" outline="0" fieldPosition="0">
          <references count="1">
            <reference field="4294967294" count="1" selected="0">
              <x v="0"/>
            </reference>
          </references>
        </pivotArea>
      </autoSortScope>
    </pivotField>
    <pivotField showAll="0"/>
  </pivotFields>
  <rowFields count="1">
    <field x="33"/>
  </rowFields>
  <rowItems count="17">
    <i>
      <x v="10"/>
    </i>
    <i>
      <x v="14"/>
    </i>
    <i>
      <x v="12"/>
    </i>
    <i>
      <x v="13"/>
    </i>
    <i>
      <x v="15"/>
    </i>
    <i>
      <x v="9"/>
    </i>
    <i>
      <x v="8"/>
    </i>
    <i>
      <x v="11"/>
    </i>
    <i>
      <x v="6"/>
    </i>
    <i>
      <x v="5"/>
    </i>
    <i>
      <x v="3"/>
    </i>
    <i>
      <x v="4"/>
    </i>
    <i>
      <x v="7"/>
    </i>
    <i>
      <x v="2"/>
    </i>
    <i>
      <x v="1"/>
    </i>
    <i>
      <x/>
    </i>
    <i t="grand">
      <x/>
    </i>
  </rowItems>
  <colItems count="1">
    <i/>
  </colItems>
  <dataFields count="1">
    <dataField name="No. of Employee" fld="8" baseField="0" baseItem="0"/>
  </dataField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3" count="1" selected="0">
            <x v="0"/>
          </reference>
        </references>
      </pivotArea>
    </chartFormat>
    <chartFormat chart="5" format="4">
      <pivotArea type="data" outline="0" fieldPosition="0">
        <references count="2">
          <reference field="4294967294" count="1" selected="0">
            <x v="0"/>
          </reference>
          <reference field="33" count="1" selected="0">
            <x v="1"/>
          </reference>
        </references>
      </pivotArea>
    </chartFormat>
    <chartFormat chart="5" format="5">
      <pivotArea type="data" outline="0" fieldPosition="0">
        <references count="2">
          <reference field="4294967294" count="1" selected="0">
            <x v="0"/>
          </reference>
          <reference field="33" count="1" selected="0">
            <x v="2"/>
          </reference>
        </references>
      </pivotArea>
    </chartFormat>
    <chartFormat chart="5" format="6">
      <pivotArea type="data" outline="0" fieldPosition="0">
        <references count="2">
          <reference field="4294967294" count="1" selected="0">
            <x v="0"/>
          </reference>
          <reference field="33" count="1" selected="0">
            <x v="5"/>
          </reference>
        </references>
      </pivotArea>
    </chartFormat>
    <chartFormat chart="5" format="7">
      <pivotArea type="data" outline="0" fieldPosition="0">
        <references count="2">
          <reference field="4294967294" count="1" selected="0">
            <x v="0"/>
          </reference>
          <reference field="33" count="1" selected="0">
            <x v="3"/>
          </reference>
        </references>
      </pivotArea>
    </chartFormat>
    <chartFormat chart="5" format="8">
      <pivotArea type="data" outline="0" fieldPosition="0">
        <references count="2">
          <reference field="4294967294" count="1" selected="0">
            <x v="0"/>
          </reference>
          <reference field="33" count="1" selected="0">
            <x v="7"/>
          </reference>
        </references>
      </pivotArea>
    </chartFormat>
    <chartFormat chart="5" format="9">
      <pivotArea type="data" outline="0" fieldPosition="0">
        <references count="2">
          <reference field="4294967294" count="1" selected="0">
            <x v="0"/>
          </reference>
          <reference field="33" count="1" selected="0">
            <x v="4"/>
          </reference>
        </references>
      </pivotArea>
    </chartFormat>
    <chartFormat chart="5" format="10">
      <pivotArea type="data" outline="0" fieldPosition="0">
        <references count="2">
          <reference field="4294967294" count="1" selected="0">
            <x v="0"/>
          </reference>
          <reference field="33" count="1" selected="0">
            <x v="12"/>
          </reference>
        </references>
      </pivotArea>
    </chartFormat>
    <chartFormat chart="5" format="11">
      <pivotArea type="data" outline="0" fieldPosition="0">
        <references count="2">
          <reference field="4294967294" count="1" selected="0">
            <x v="0"/>
          </reference>
          <reference field="33" count="1" selected="0">
            <x v="6"/>
          </reference>
        </references>
      </pivotArea>
    </chartFormat>
    <chartFormat chart="5" format="12">
      <pivotArea type="data" outline="0" fieldPosition="0">
        <references count="2">
          <reference field="4294967294" count="1" selected="0">
            <x v="0"/>
          </reference>
          <reference field="33" count="1" selected="0">
            <x v="8"/>
          </reference>
        </references>
      </pivotArea>
    </chartFormat>
    <chartFormat chart="5" format="13">
      <pivotArea type="data" outline="0" fieldPosition="0">
        <references count="2">
          <reference field="4294967294" count="1" selected="0">
            <x v="0"/>
          </reference>
          <reference field="33" count="1" selected="0">
            <x v="11"/>
          </reference>
        </references>
      </pivotArea>
    </chartFormat>
    <chartFormat chart="5" format="14">
      <pivotArea type="data" outline="0" fieldPosition="0">
        <references count="2">
          <reference field="4294967294" count="1" selected="0">
            <x v="0"/>
          </reference>
          <reference field="3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AB74F8-4CDC-4AD6-A861-6875AC602FA4}" name="PivotTable63"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Job Level">
  <location ref="A47:B53" firstHeaderRow="1" firstDataRow="1" firstDataCol="1"/>
  <pivotFields count="35">
    <pivotField showAll="0"/>
    <pivotField showAll="0"/>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Sum of StandardHours" fld="26" baseField="0" baseItem="0"/>
  </dataFields>
  <chartFormats count="7">
    <chartFormat chart="16"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14" count="1" selected="0">
            <x v="0"/>
          </reference>
        </references>
      </pivotArea>
    </chartFormat>
    <chartFormat chart="8" format="5">
      <pivotArea type="data" outline="0" fieldPosition="0">
        <references count="2">
          <reference field="4294967294" count="1" selected="0">
            <x v="0"/>
          </reference>
          <reference field="14" count="1" selected="0">
            <x v="1"/>
          </reference>
        </references>
      </pivotArea>
    </chartFormat>
    <chartFormat chart="8" format="6">
      <pivotArea type="data" outline="0" fieldPosition="0">
        <references count="2">
          <reference field="4294967294" count="1" selected="0">
            <x v="0"/>
          </reference>
          <reference field="14" count="1" selected="0">
            <x v="2"/>
          </reference>
        </references>
      </pivotArea>
    </chartFormat>
    <chartFormat chart="8" format="7">
      <pivotArea type="data" outline="0" fieldPosition="0">
        <references count="2">
          <reference field="4294967294" count="1" selected="0">
            <x v="0"/>
          </reference>
          <reference field="14" count="1" selected="0">
            <x v="3"/>
          </reference>
        </references>
      </pivotArea>
    </chartFormat>
    <chartFormat chart="8" format="8">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2BE8A5-6E9B-41BE-9C13-EFED12B309F1}" name="PivotTable49"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36:B42"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axis="axisRow" showAll="0">
      <items count="6">
        <item x="1"/>
        <item x="0"/>
        <item x="2"/>
        <item x="3"/>
        <item x="4"/>
        <item t="default"/>
      </items>
    </pivotField>
    <pivotField showAll="0"/>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MonthlyIncome" fld="18" subtotal="average" baseField="14" baseItem="0"/>
  </dataFields>
  <chartFormats count="7">
    <chartFormat chart="5" format="1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4" count="1" selected="0">
            <x v="3"/>
          </reference>
        </references>
      </pivotArea>
    </chartFormat>
    <chartFormat chart="5" format="14">
      <pivotArea type="data" outline="0" fieldPosition="0">
        <references count="2">
          <reference field="4294967294" count="1" selected="0">
            <x v="0"/>
          </reference>
          <reference field="14" count="1" selected="0">
            <x v="4"/>
          </reference>
        </references>
      </pivotArea>
    </chartFormat>
    <chartFormat chart="5" format="15">
      <pivotArea type="data" outline="0" fieldPosition="0">
        <references count="2">
          <reference field="4294967294" count="1" selected="0">
            <x v="0"/>
          </reference>
          <reference field="14" count="1" selected="0">
            <x v="1"/>
          </reference>
        </references>
      </pivotArea>
    </chartFormat>
    <chartFormat chart="5" format="16">
      <pivotArea type="data" outline="0" fieldPosition="0">
        <references count="2">
          <reference field="4294967294" count="1" selected="0">
            <x v="0"/>
          </reference>
          <reference field="14" count="1" selected="0">
            <x v="0"/>
          </reference>
        </references>
      </pivotArea>
    </chartFormat>
    <chartFormat chart="5" format="17">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933965-22B9-46CC-8979-085C736EECDC}" name="PivotTable31"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Gender">
  <location ref="A6:B9" firstHeaderRow="1" firstDataRow="1" firstDataCol="1"/>
  <pivotFields count="35">
    <pivotField showAll="0"/>
    <pivotField showAll="0"/>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No. of Employee" fld="11"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51283F8-77B6-45FC-8504-73F819B1BED4}" sourceName="Gender">
  <pivotTables>
    <pivotTable tabId="6" name="PivotTable31"/>
    <pivotTable tabId="6" name="PivotTable49"/>
    <pivotTable tabId="6" name="PivotTable64"/>
    <pivotTable tabId="5" name="PivotTable59"/>
    <pivotTable tabId="5" name="PivotTable62"/>
    <pivotTable tabId="6" name="PivotTable63"/>
    <pivotTable tabId="5" name="PivotTable69"/>
    <pivotTable tabId="6" name="PivotTable67"/>
    <pivotTable tabId="6" name="PivotTable68"/>
  </pivotTables>
  <data>
    <tabular pivotCacheId="3002424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80E4948C-C74A-4894-961C-9BE050CD525B}" sourceName="EducationField">
  <pivotTables>
    <pivotTable tabId="6" name="PivotTable31"/>
    <pivotTable tabId="6" name="PivotTable49"/>
    <pivotTable tabId="5" name="PivotTable59"/>
    <pivotTable tabId="5" name="PivotTable62"/>
    <pivotTable tabId="6" name="PivotTable63"/>
    <pivotTable tabId="6" name="PivotTable64"/>
    <pivotTable tabId="6" name="PivotTable67"/>
    <pivotTable tabId="5" name="PivotTable69"/>
    <pivotTable tabId="6" name="PivotTable68"/>
  </pivotTables>
  <data>
    <tabular pivotCacheId="30024246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9E7BC63-95FB-4978-A82A-F000EE39CC2A}" cache="Slicer_Gender" caption="Gender" rowHeight="273050"/>
  <slicer name="EducationField" xr10:uid="{BE6CAD53-8D18-45B5-BC55-098536129F20}" cache="Slicer_EducationField" caption="EducationField"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BE7BC04-5EF0-46CE-8012-64935CF7EE16}" cache="Slicer_Gender" caption="Gender" style="SlicerStyleDark3" rowHeight="273050"/>
  <slicer name="EducationField 2" xr10:uid="{BDC46B10-0AEE-49AD-86A5-758534823194}" cache="Slicer_EducationField" caption="EducationField" style="SlicerStyleDark3"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7BC9A0-1747-4BB6-8234-DD9D58A4660E}" name="Table2" displayName="Table2" ref="A1:AI1471" totalsRowShown="0">
  <autoFilter ref="A1:AI1471" xr:uid="{2A7BC9A0-1747-4BB6-8234-DD9D58A4660E}"/>
  <tableColumns count="35">
    <tableColumn id="1" xr3:uid="{8D923EF7-4CBB-433C-B003-D8D876EC6753}" name="Age"/>
    <tableColumn id="2" xr3:uid="{B386E8C0-F11A-4ADD-977A-31B58FCEB022}" name="Attrition"/>
    <tableColumn id="3" xr3:uid="{6B2F0151-2FD2-4ACB-AF18-9B48202B0783}" name="BusinessTravel"/>
    <tableColumn id="4" xr3:uid="{1A928345-DB11-4A86-9557-8F710AD5168F}" name="DailyRate"/>
    <tableColumn id="5" xr3:uid="{D140E90A-B2A8-496F-9FC9-D182EBCF7193}" name="Department"/>
    <tableColumn id="6" xr3:uid="{694736FB-A2B5-4E6F-8A5A-57ADEDD8A1E8}" name="DistanceFromHome"/>
    <tableColumn id="7" xr3:uid="{53CF2AD2-D196-423E-8E52-F191A4522DD0}" name="Education"/>
    <tableColumn id="8" xr3:uid="{C9E4B60E-44AB-4216-BB31-7045FD99B722}" name="EducationField"/>
    <tableColumn id="9" xr3:uid="{89329368-481E-471E-8A19-A8FEA3F41143}" name="EmployeeCount"/>
    <tableColumn id="10" xr3:uid="{5454ECB3-BB80-4284-A31E-B11970B140AB}" name="EmployeeNumber"/>
    <tableColumn id="11" xr3:uid="{BCF4D5D1-3748-46FE-9EF1-06AFC9225A86}" name="EnvironmentSatisfaction"/>
    <tableColumn id="12" xr3:uid="{E85B809B-2FDA-47D7-8467-5CF514156DA5}" name="Gender"/>
    <tableColumn id="13" xr3:uid="{33E3DC07-AEBF-403A-8131-7B73E4284605}" name="HourlyRate"/>
    <tableColumn id="14" xr3:uid="{A07F6731-BA71-439D-AD34-7B38FBC34442}" name="JobInvolvement"/>
    <tableColumn id="15" xr3:uid="{39CCBE47-26C9-4423-A784-7381C1994575}" name="JobLevel"/>
    <tableColumn id="16" xr3:uid="{3F611EBA-33B9-4261-8240-85B8B20A253B}" name="JobRole"/>
    <tableColumn id="17" xr3:uid="{0AF0621C-B75E-4EEE-8BD7-C3156D43ACB1}" name="JobSatisfaction"/>
    <tableColumn id="18" xr3:uid="{AE1A0DAF-82A4-41B4-AD0E-57CBF93FF464}" name="MaritalStatus"/>
    <tableColumn id="19" xr3:uid="{F7250DB9-3AD8-47A8-A052-3A163976742B}" name="MonthlyIncome"/>
    <tableColumn id="20" xr3:uid="{B79E9A2B-1FCC-4107-95DC-7A290EE2BA13}" name="MonthlyRate"/>
    <tableColumn id="21" xr3:uid="{E0410AE5-C9B7-4632-85AC-4818EAE5735F}" name="NumCompaniesWorked"/>
    <tableColumn id="22" xr3:uid="{2C916295-9197-404A-9232-5BEECF4DF920}" name="Over18"/>
    <tableColumn id="23" xr3:uid="{E0082340-CDC4-4236-B264-164166D3586D}" name="OverTime"/>
    <tableColumn id="24" xr3:uid="{F6C240F8-D16A-405B-B965-2207DEB21D0C}" name="PercentSalaryHike"/>
    <tableColumn id="25" xr3:uid="{6FBF6D3D-85E3-49C5-A99C-EB985D845FE0}" name="PerformanceRating"/>
    <tableColumn id="26" xr3:uid="{FC995245-A068-4ECB-AA54-755B01FD5836}" name="RelationshipSatisfaction"/>
    <tableColumn id="27" xr3:uid="{A6E8E0AC-54D6-4476-9D49-C6E31771C7BF}" name="StandardHours"/>
    <tableColumn id="28" xr3:uid="{581E52CB-B6B1-4F2F-B6FF-D7C759D8452D}" name="StockOptionLevel"/>
    <tableColumn id="29" xr3:uid="{FC7C1F16-5FCB-4603-B4DB-2BB42B2BB569}" name="TotalWorkingYears"/>
    <tableColumn id="30" xr3:uid="{BA6E6429-B2DF-4780-A1DE-AB0DE5B827CF}" name="TrainingTimesLastYear"/>
    <tableColumn id="31" xr3:uid="{A3671202-90AF-4A7F-A210-79CE0EACDC68}" name="WorkLifeBalance"/>
    <tableColumn id="32" xr3:uid="{10B2C1F6-43DA-4CE4-BCD6-4B4A6AEEA007}" name="YearsAtCompany"/>
    <tableColumn id="33" xr3:uid="{F0426BDD-A82C-4FCA-A40E-A6B0D19E4AC8}" name="YearsInCurrentRole"/>
    <tableColumn id="34" xr3:uid="{024463B0-8D2A-4FD8-9E50-BFB0468716D9}" name="YearsSinceLastPromotion"/>
    <tableColumn id="35" xr3:uid="{5912332A-37F6-4599-89E3-FFD0FA89A667}" name="YearsWithCurrManager"/>
  </tableColumns>
  <tableStyleInfo name="TableStyleMedium21"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6.xml"/><Relationship Id="rId7"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74BF-6061-4D13-BFAE-2ED486FF5246}">
  <dimension ref="A1:AI1471"/>
  <sheetViews>
    <sheetView topLeftCell="M2" workbookViewId="0">
      <selection activeCell="C19" sqref="C19:C20"/>
    </sheetView>
  </sheetViews>
  <sheetFormatPr defaultColWidth="9" defaultRowHeight="14.4" x14ac:dyDescent="0.5"/>
  <cols>
    <col min="1" max="1" width="7" bestFit="1" customWidth="1"/>
    <col min="2" max="2" width="11.5546875" bestFit="1" customWidth="1"/>
    <col min="3" max="3" width="17.6640625" bestFit="1" customWidth="1"/>
    <col min="4" max="4" width="12.33203125" bestFit="1" customWidth="1"/>
    <col min="5" max="5" width="22.44140625" bestFit="1" customWidth="1"/>
    <col min="6" max="6" width="22.77734375" bestFit="1" customWidth="1"/>
    <col min="7" max="7" width="12.77734375" bestFit="1" customWidth="1"/>
    <col min="8" max="8" width="17.5546875" bestFit="1" customWidth="1"/>
    <col min="9" max="9" width="18.6640625" bestFit="1" customWidth="1"/>
    <col min="10" max="10" width="20.77734375" bestFit="1" customWidth="1"/>
    <col min="11" max="11" width="26.88671875" bestFit="1" customWidth="1"/>
    <col min="12" max="12" width="10.44140625" bestFit="1" customWidth="1"/>
    <col min="13" max="13" width="14.109375" bestFit="1" customWidth="1"/>
    <col min="14" max="14" width="18.21875" bestFit="1" customWidth="1"/>
    <col min="15" max="15" width="11.33203125" bestFit="1" customWidth="1"/>
    <col min="16" max="16" width="23.21875" bestFit="1" customWidth="1"/>
    <col min="17" max="17" width="17.44140625" bestFit="1" customWidth="1"/>
    <col min="18" max="18" width="16.109375" bestFit="1" customWidth="1"/>
    <col min="19" max="19" width="18.21875" bestFit="1" customWidth="1"/>
    <col min="20" max="20" width="15.44140625" bestFit="1" customWidth="1"/>
    <col min="21" max="21" width="27" bestFit="1" customWidth="1"/>
    <col min="22" max="22" width="10.21875" bestFit="1" customWidth="1"/>
    <col min="23" max="23" width="13" bestFit="1" customWidth="1"/>
    <col min="24" max="24" width="21.21875" bestFit="1" customWidth="1"/>
    <col min="25" max="25" width="21.88671875" bestFit="1" customWidth="1"/>
    <col min="26" max="26" width="26.33203125" bestFit="1" customWidth="1"/>
    <col min="27" max="27" width="18" bestFit="1" customWidth="1"/>
    <col min="28" max="28" width="20.5546875" bestFit="1" customWidth="1"/>
    <col min="29" max="29" width="22.44140625" bestFit="1" customWidth="1"/>
    <col min="30" max="30" width="26.109375" bestFit="1" customWidth="1"/>
    <col min="31" max="31" width="20" bestFit="1" customWidth="1"/>
    <col min="32" max="32" width="20.44140625" bestFit="1" customWidth="1"/>
    <col min="33" max="33" width="22.6640625" bestFit="1" customWidth="1"/>
    <col min="34" max="34" width="28.5546875" bestFit="1" customWidth="1"/>
    <col min="35" max="35" width="26.77734375" bestFit="1" customWidth="1"/>
  </cols>
  <sheetData>
    <row r="1" spans="1:35" ht="18"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18" x14ac:dyDescent="0.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ht="18" x14ac:dyDescent="0.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ht="18" x14ac:dyDescent="0.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ht="18" x14ac:dyDescent="0.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ht="18" x14ac:dyDescent="0.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ht="18" x14ac:dyDescent="0.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ht="18" x14ac:dyDescent="0.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ht="18" x14ac:dyDescent="0.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ht="18" x14ac:dyDescent="0.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ht="18" x14ac:dyDescent="0.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ht="18" x14ac:dyDescent="0.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ht="18" x14ac:dyDescent="0.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ht="18" x14ac:dyDescent="0.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ht="18" x14ac:dyDescent="0.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ht="18" x14ac:dyDescent="0.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ht="18" x14ac:dyDescent="0.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ht="18" x14ac:dyDescent="0.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ht="18" x14ac:dyDescent="0.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ht="18" x14ac:dyDescent="0.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ht="18" x14ac:dyDescent="0.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ht="18" x14ac:dyDescent="0.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ht="18" x14ac:dyDescent="0.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ht="18" x14ac:dyDescent="0.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ht="18" x14ac:dyDescent="0.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ht="18" x14ac:dyDescent="0.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ht="18" x14ac:dyDescent="0.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ht="18" x14ac:dyDescent="0.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ht="18" x14ac:dyDescent="0.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ht="18" x14ac:dyDescent="0.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ht="18" x14ac:dyDescent="0.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ht="18" x14ac:dyDescent="0.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ht="18" x14ac:dyDescent="0.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ht="18" x14ac:dyDescent="0.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ht="18" x14ac:dyDescent="0.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ht="18" x14ac:dyDescent="0.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ht="18" x14ac:dyDescent="0.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ht="18" x14ac:dyDescent="0.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ht="18" x14ac:dyDescent="0.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ht="18" x14ac:dyDescent="0.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ht="18" x14ac:dyDescent="0.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ht="18" x14ac:dyDescent="0.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ht="18" x14ac:dyDescent="0.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ht="18" x14ac:dyDescent="0.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ht="18" x14ac:dyDescent="0.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ht="18" x14ac:dyDescent="0.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ht="18" x14ac:dyDescent="0.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ht="18" x14ac:dyDescent="0.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ht="18" x14ac:dyDescent="0.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ht="18" x14ac:dyDescent="0.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ht="18" x14ac:dyDescent="0.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ht="18" x14ac:dyDescent="0.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ht="18" x14ac:dyDescent="0.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ht="18" x14ac:dyDescent="0.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ht="18" x14ac:dyDescent="0.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ht="18" x14ac:dyDescent="0.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ht="18" x14ac:dyDescent="0.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ht="18" x14ac:dyDescent="0.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ht="18" x14ac:dyDescent="0.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ht="18" x14ac:dyDescent="0.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ht="18" x14ac:dyDescent="0.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ht="18" x14ac:dyDescent="0.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ht="18" x14ac:dyDescent="0.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ht="18" x14ac:dyDescent="0.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ht="18" x14ac:dyDescent="0.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ht="18" x14ac:dyDescent="0.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ht="18" x14ac:dyDescent="0.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ht="18" x14ac:dyDescent="0.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ht="18" x14ac:dyDescent="0.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ht="18" x14ac:dyDescent="0.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ht="18" x14ac:dyDescent="0.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ht="18" x14ac:dyDescent="0.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ht="18" x14ac:dyDescent="0.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ht="18" x14ac:dyDescent="0.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ht="18" x14ac:dyDescent="0.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ht="18" x14ac:dyDescent="0.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ht="18" x14ac:dyDescent="0.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ht="18" x14ac:dyDescent="0.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ht="18" x14ac:dyDescent="0.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ht="18" x14ac:dyDescent="0.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ht="18" x14ac:dyDescent="0.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ht="18" x14ac:dyDescent="0.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ht="18" x14ac:dyDescent="0.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ht="18" x14ac:dyDescent="0.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ht="18" x14ac:dyDescent="0.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ht="18" x14ac:dyDescent="0.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ht="18" x14ac:dyDescent="0.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ht="18" x14ac:dyDescent="0.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ht="18" x14ac:dyDescent="0.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ht="18" x14ac:dyDescent="0.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ht="18" x14ac:dyDescent="0.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ht="18" x14ac:dyDescent="0.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ht="18" x14ac:dyDescent="0.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ht="18" x14ac:dyDescent="0.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ht="18" x14ac:dyDescent="0.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ht="18" x14ac:dyDescent="0.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ht="18" x14ac:dyDescent="0.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ht="18" x14ac:dyDescent="0.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ht="18" x14ac:dyDescent="0.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ht="18" x14ac:dyDescent="0.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ht="18" x14ac:dyDescent="0.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ht="18" x14ac:dyDescent="0.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ht="18" x14ac:dyDescent="0.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ht="18" x14ac:dyDescent="0.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ht="18" x14ac:dyDescent="0.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ht="18" x14ac:dyDescent="0.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ht="18" x14ac:dyDescent="0.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ht="18" x14ac:dyDescent="0.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ht="18" x14ac:dyDescent="0.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ht="18" x14ac:dyDescent="0.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ht="18" x14ac:dyDescent="0.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ht="18" x14ac:dyDescent="0.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ht="18" x14ac:dyDescent="0.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ht="18" x14ac:dyDescent="0.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ht="18" x14ac:dyDescent="0.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ht="18" x14ac:dyDescent="0.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ht="18" x14ac:dyDescent="0.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ht="18" x14ac:dyDescent="0.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ht="18" x14ac:dyDescent="0.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ht="18" x14ac:dyDescent="0.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ht="18" x14ac:dyDescent="0.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ht="18" x14ac:dyDescent="0.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ht="18" x14ac:dyDescent="0.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ht="18" x14ac:dyDescent="0.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ht="18" x14ac:dyDescent="0.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ht="18" x14ac:dyDescent="0.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ht="18" x14ac:dyDescent="0.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ht="18" x14ac:dyDescent="0.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ht="18" x14ac:dyDescent="0.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ht="18" x14ac:dyDescent="0.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ht="18" x14ac:dyDescent="0.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ht="18" x14ac:dyDescent="0.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ht="18" x14ac:dyDescent="0.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ht="18" x14ac:dyDescent="0.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ht="18" x14ac:dyDescent="0.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ht="18" x14ac:dyDescent="0.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ht="18" x14ac:dyDescent="0.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ht="18" x14ac:dyDescent="0.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ht="18" x14ac:dyDescent="0.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ht="18" x14ac:dyDescent="0.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ht="18" x14ac:dyDescent="0.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ht="18" x14ac:dyDescent="0.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ht="18" x14ac:dyDescent="0.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ht="18" x14ac:dyDescent="0.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ht="18" x14ac:dyDescent="0.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ht="18" x14ac:dyDescent="0.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ht="18" x14ac:dyDescent="0.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ht="18" x14ac:dyDescent="0.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ht="18" x14ac:dyDescent="0.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ht="18" x14ac:dyDescent="0.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ht="18" x14ac:dyDescent="0.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ht="18" x14ac:dyDescent="0.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ht="18" x14ac:dyDescent="0.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ht="18" x14ac:dyDescent="0.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ht="18" x14ac:dyDescent="0.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ht="18" x14ac:dyDescent="0.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ht="18" x14ac:dyDescent="0.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ht="18" x14ac:dyDescent="0.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ht="18" x14ac:dyDescent="0.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ht="18" x14ac:dyDescent="0.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ht="18" x14ac:dyDescent="0.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ht="18" x14ac:dyDescent="0.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ht="18" x14ac:dyDescent="0.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ht="18" x14ac:dyDescent="0.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ht="18" x14ac:dyDescent="0.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ht="18" x14ac:dyDescent="0.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ht="18" x14ac:dyDescent="0.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ht="18" x14ac:dyDescent="0.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ht="18" x14ac:dyDescent="0.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ht="18" x14ac:dyDescent="0.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ht="18" x14ac:dyDescent="0.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ht="18" x14ac:dyDescent="0.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ht="18" x14ac:dyDescent="0.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ht="18" x14ac:dyDescent="0.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ht="18" x14ac:dyDescent="0.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ht="18" x14ac:dyDescent="0.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ht="18" x14ac:dyDescent="0.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ht="18" x14ac:dyDescent="0.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ht="18" x14ac:dyDescent="0.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ht="18" x14ac:dyDescent="0.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ht="18" x14ac:dyDescent="0.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ht="18" x14ac:dyDescent="0.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ht="18" x14ac:dyDescent="0.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ht="18" x14ac:dyDescent="0.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ht="18" x14ac:dyDescent="0.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ht="18" x14ac:dyDescent="0.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ht="18" x14ac:dyDescent="0.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ht="18" x14ac:dyDescent="0.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ht="18" x14ac:dyDescent="0.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ht="18" x14ac:dyDescent="0.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ht="18" x14ac:dyDescent="0.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ht="18" x14ac:dyDescent="0.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ht="18" x14ac:dyDescent="0.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ht="18" x14ac:dyDescent="0.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ht="18" x14ac:dyDescent="0.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ht="18" x14ac:dyDescent="0.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ht="18" x14ac:dyDescent="0.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ht="18" x14ac:dyDescent="0.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ht="18" x14ac:dyDescent="0.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ht="18" x14ac:dyDescent="0.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ht="18" x14ac:dyDescent="0.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ht="18" x14ac:dyDescent="0.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ht="18" x14ac:dyDescent="0.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ht="18" x14ac:dyDescent="0.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ht="18" x14ac:dyDescent="0.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ht="18" x14ac:dyDescent="0.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ht="18" x14ac:dyDescent="0.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ht="18" x14ac:dyDescent="0.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ht="18" x14ac:dyDescent="0.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ht="18" x14ac:dyDescent="0.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ht="18" x14ac:dyDescent="0.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ht="18" x14ac:dyDescent="0.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ht="18" x14ac:dyDescent="0.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ht="18" x14ac:dyDescent="0.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ht="18" x14ac:dyDescent="0.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ht="18" x14ac:dyDescent="0.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ht="18" x14ac:dyDescent="0.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ht="18" x14ac:dyDescent="0.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ht="18" x14ac:dyDescent="0.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ht="18" x14ac:dyDescent="0.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ht="18" x14ac:dyDescent="0.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ht="18" x14ac:dyDescent="0.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ht="18" x14ac:dyDescent="0.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ht="18" x14ac:dyDescent="0.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ht="18" x14ac:dyDescent="0.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ht="18" x14ac:dyDescent="0.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ht="18" x14ac:dyDescent="0.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ht="18" x14ac:dyDescent="0.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ht="18" x14ac:dyDescent="0.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ht="18" x14ac:dyDescent="0.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ht="18" x14ac:dyDescent="0.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ht="18" x14ac:dyDescent="0.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ht="18" x14ac:dyDescent="0.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ht="18" x14ac:dyDescent="0.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ht="18" x14ac:dyDescent="0.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ht="18" x14ac:dyDescent="0.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ht="18" x14ac:dyDescent="0.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ht="18" x14ac:dyDescent="0.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ht="18" x14ac:dyDescent="0.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ht="18" x14ac:dyDescent="0.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ht="18" x14ac:dyDescent="0.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ht="18" x14ac:dyDescent="0.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ht="18" x14ac:dyDescent="0.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ht="18" x14ac:dyDescent="0.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ht="18" x14ac:dyDescent="0.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ht="18" x14ac:dyDescent="0.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ht="18" x14ac:dyDescent="0.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ht="18" x14ac:dyDescent="0.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ht="18" x14ac:dyDescent="0.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ht="18" x14ac:dyDescent="0.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ht="18" x14ac:dyDescent="0.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ht="18" x14ac:dyDescent="0.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ht="18" x14ac:dyDescent="0.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ht="18" x14ac:dyDescent="0.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ht="18" x14ac:dyDescent="0.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ht="18" x14ac:dyDescent="0.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ht="18" x14ac:dyDescent="0.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ht="18" x14ac:dyDescent="0.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ht="18" x14ac:dyDescent="0.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ht="18" x14ac:dyDescent="0.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ht="18" x14ac:dyDescent="0.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ht="18" x14ac:dyDescent="0.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ht="18" x14ac:dyDescent="0.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ht="18" x14ac:dyDescent="0.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ht="18" x14ac:dyDescent="0.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ht="18" x14ac:dyDescent="0.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ht="18" x14ac:dyDescent="0.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ht="18" x14ac:dyDescent="0.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ht="18" x14ac:dyDescent="0.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ht="18" x14ac:dyDescent="0.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ht="18" x14ac:dyDescent="0.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ht="18" x14ac:dyDescent="0.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ht="18" x14ac:dyDescent="0.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ht="18" x14ac:dyDescent="0.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ht="18" x14ac:dyDescent="0.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ht="18" x14ac:dyDescent="0.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ht="18" x14ac:dyDescent="0.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ht="18" x14ac:dyDescent="0.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ht="18" x14ac:dyDescent="0.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ht="18" x14ac:dyDescent="0.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ht="18" x14ac:dyDescent="0.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ht="18" x14ac:dyDescent="0.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ht="18" x14ac:dyDescent="0.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ht="18" x14ac:dyDescent="0.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ht="18" x14ac:dyDescent="0.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ht="18" x14ac:dyDescent="0.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ht="18" x14ac:dyDescent="0.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ht="18" x14ac:dyDescent="0.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ht="18" x14ac:dyDescent="0.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ht="18" x14ac:dyDescent="0.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ht="18" x14ac:dyDescent="0.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ht="18" x14ac:dyDescent="0.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ht="18" x14ac:dyDescent="0.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ht="18" x14ac:dyDescent="0.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ht="18" x14ac:dyDescent="0.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ht="18" x14ac:dyDescent="0.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ht="18" x14ac:dyDescent="0.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ht="18" x14ac:dyDescent="0.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ht="18" x14ac:dyDescent="0.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ht="18" x14ac:dyDescent="0.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ht="18" x14ac:dyDescent="0.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ht="18" x14ac:dyDescent="0.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ht="18" x14ac:dyDescent="0.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ht="18" x14ac:dyDescent="0.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ht="18" x14ac:dyDescent="0.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ht="18" x14ac:dyDescent="0.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ht="18" x14ac:dyDescent="0.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ht="18" x14ac:dyDescent="0.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ht="18" x14ac:dyDescent="0.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ht="18" x14ac:dyDescent="0.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ht="18" x14ac:dyDescent="0.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ht="18" x14ac:dyDescent="0.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ht="18" x14ac:dyDescent="0.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ht="18" x14ac:dyDescent="0.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ht="18" x14ac:dyDescent="0.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ht="18" x14ac:dyDescent="0.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ht="18" x14ac:dyDescent="0.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ht="18" x14ac:dyDescent="0.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ht="18" x14ac:dyDescent="0.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ht="18" x14ac:dyDescent="0.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ht="18" x14ac:dyDescent="0.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ht="18" x14ac:dyDescent="0.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ht="18" x14ac:dyDescent="0.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ht="18" x14ac:dyDescent="0.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ht="18" x14ac:dyDescent="0.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ht="18" x14ac:dyDescent="0.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ht="18" x14ac:dyDescent="0.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ht="18" x14ac:dyDescent="0.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ht="18" x14ac:dyDescent="0.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ht="18" x14ac:dyDescent="0.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ht="18" x14ac:dyDescent="0.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ht="18" x14ac:dyDescent="0.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ht="18" x14ac:dyDescent="0.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ht="18" x14ac:dyDescent="0.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ht="18" x14ac:dyDescent="0.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ht="18" x14ac:dyDescent="0.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ht="18" x14ac:dyDescent="0.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ht="18" x14ac:dyDescent="0.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ht="18" x14ac:dyDescent="0.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ht="18" x14ac:dyDescent="0.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ht="18" x14ac:dyDescent="0.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ht="18" x14ac:dyDescent="0.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ht="18" x14ac:dyDescent="0.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ht="18" x14ac:dyDescent="0.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ht="18" x14ac:dyDescent="0.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ht="18" x14ac:dyDescent="0.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ht="18" x14ac:dyDescent="0.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ht="18" x14ac:dyDescent="0.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ht="18" x14ac:dyDescent="0.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ht="18" x14ac:dyDescent="0.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ht="18" x14ac:dyDescent="0.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ht="18" x14ac:dyDescent="0.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ht="18" x14ac:dyDescent="0.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ht="18" x14ac:dyDescent="0.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ht="18" x14ac:dyDescent="0.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ht="18" x14ac:dyDescent="0.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ht="18" x14ac:dyDescent="0.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ht="18" x14ac:dyDescent="0.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ht="18" x14ac:dyDescent="0.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ht="18" x14ac:dyDescent="0.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ht="18" x14ac:dyDescent="0.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ht="18" x14ac:dyDescent="0.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ht="18" x14ac:dyDescent="0.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ht="18" x14ac:dyDescent="0.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ht="18" x14ac:dyDescent="0.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ht="18" x14ac:dyDescent="0.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ht="18" x14ac:dyDescent="0.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ht="18" x14ac:dyDescent="0.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ht="18" x14ac:dyDescent="0.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ht="18" x14ac:dyDescent="0.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ht="18" x14ac:dyDescent="0.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ht="18" x14ac:dyDescent="0.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ht="18" x14ac:dyDescent="0.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ht="18" x14ac:dyDescent="0.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ht="18" x14ac:dyDescent="0.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ht="18" x14ac:dyDescent="0.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ht="18" x14ac:dyDescent="0.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ht="18" x14ac:dyDescent="0.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ht="18" x14ac:dyDescent="0.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ht="18" x14ac:dyDescent="0.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ht="18" x14ac:dyDescent="0.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ht="18" x14ac:dyDescent="0.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ht="18" x14ac:dyDescent="0.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ht="18" x14ac:dyDescent="0.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ht="18" x14ac:dyDescent="0.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ht="18" x14ac:dyDescent="0.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ht="18" x14ac:dyDescent="0.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ht="18" x14ac:dyDescent="0.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ht="18" x14ac:dyDescent="0.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ht="18" x14ac:dyDescent="0.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ht="18" x14ac:dyDescent="0.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ht="18" x14ac:dyDescent="0.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ht="18" x14ac:dyDescent="0.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ht="18" x14ac:dyDescent="0.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ht="18" x14ac:dyDescent="0.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ht="18" x14ac:dyDescent="0.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ht="18" x14ac:dyDescent="0.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ht="18" x14ac:dyDescent="0.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ht="18" x14ac:dyDescent="0.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ht="18" x14ac:dyDescent="0.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ht="18" x14ac:dyDescent="0.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ht="18" x14ac:dyDescent="0.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ht="18" x14ac:dyDescent="0.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ht="18" x14ac:dyDescent="0.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ht="18" x14ac:dyDescent="0.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ht="18" x14ac:dyDescent="0.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ht="18" x14ac:dyDescent="0.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ht="18" x14ac:dyDescent="0.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ht="18" x14ac:dyDescent="0.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ht="18" x14ac:dyDescent="0.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ht="18" x14ac:dyDescent="0.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ht="18" x14ac:dyDescent="0.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ht="18" x14ac:dyDescent="0.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ht="18" x14ac:dyDescent="0.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ht="18" x14ac:dyDescent="0.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ht="18" x14ac:dyDescent="0.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ht="18" x14ac:dyDescent="0.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ht="18" x14ac:dyDescent="0.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ht="18" x14ac:dyDescent="0.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ht="18" x14ac:dyDescent="0.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ht="18" x14ac:dyDescent="0.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ht="18" x14ac:dyDescent="0.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ht="18" x14ac:dyDescent="0.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ht="18" x14ac:dyDescent="0.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ht="18" x14ac:dyDescent="0.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ht="18" x14ac:dyDescent="0.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ht="18" x14ac:dyDescent="0.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ht="18" x14ac:dyDescent="0.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ht="18" x14ac:dyDescent="0.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ht="18" x14ac:dyDescent="0.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ht="18" x14ac:dyDescent="0.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ht="18" x14ac:dyDescent="0.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ht="18" x14ac:dyDescent="0.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ht="18" x14ac:dyDescent="0.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ht="18" x14ac:dyDescent="0.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ht="18" x14ac:dyDescent="0.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ht="18" x14ac:dyDescent="0.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ht="18" x14ac:dyDescent="0.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ht="18" x14ac:dyDescent="0.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ht="18" x14ac:dyDescent="0.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ht="18" x14ac:dyDescent="0.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ht="18" x14ac:dyDescent="0.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ht="18" x14ac:dyDescent="0.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ht="18" x14ac:dyDescent="0.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ht="18" x14ac:dyDescent="0.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ht="18" x14ac:dyDescent="0.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ht="18" x14ac:dyDescent="0.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ht="18" x14ac:dyDescent="0.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ht="18" x14ac:dyDescent="0.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ht="18" x14ac:dyDescent="0.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ht="18" x14ac:dyDescent="0.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ht="18" x14ac:dyDescent="0.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ht="18" x14ac:dyDescent="0.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ht="18" x14ac:dyDescent="0.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ht="18" x14ac:dyDescent="0.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ht="18" x14ac:dyDescent="0.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ht="18" x14ac:dyDescent="0.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ht="18" x14ac:dyDescent="0.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ht="18" x14ac:dyDescent="0.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ht="18" x14ac:dyDescent="0.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ht="18" x14ac:dyDescent="0.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ht="18" x14ac:dyDescent="0.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ht="18" x14ac:dyDescent="0.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ht="18" x14ac:dyDescent="0.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ht="18" x14ac:dyDescent="0.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ht="18" x14ac:dyDescent="0.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ht="18" x14ac:dyDescent="0.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ht="18" x14ac:dyDescent="0.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ht="18" x14ac:dyDescent="0.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ht="18" x14ac:dyDescent="0.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ht="18" x14ac:dyDescent="0.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ht="18" x14ac:dyDescent="0.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ht="18" x14ac:dyDescent="0.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ht="18" x14ac:dyDescent="0.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ht="18" x14ac:dyDescent="0.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ht="18" x14ac:dyDescent="0.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ht="18" x14ac:dyDescent="0.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ht="18" x14ac:dyDescent="0.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ht="18" x14ac:dyDescent="0.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ht="18" x14ac:dyDescent="0.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ht="18" x14ac:dyDescent="0.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ht="18" x14ac:dyDescent="0.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ht="18" x14ac:dyDescent="0.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ht="18" x14ac:dyDescent="0.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ht="18" x14ac:dyDescent="0.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ht="18" x14ac:dyDescent="0.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ht="18" x14ac:dyDescent="0.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ht="18" x14ac:dyDescent="0.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ht="18" x14ac:dyDescent="0.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ht="18" x14ac:dyDescent="0.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ht="18" x14ac:dyDescent="0.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ht="18" x14ac:dyDescent="0.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ht="18" x14ac:dyDescent="0.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ht="18" x14ac:dyDescent="0.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ht="18" x14ac:dyDescent="0.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ht="18" x14ac:dyDescent="0.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ht="18" x14ac:dyDescent="0.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ht="18" x14ac:dyDescent="0.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ht="18" x14ac:dyDescent="0.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ht="18" x14ac:dyDescent="0.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ht="18" x14ac:dyDescent="0.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ht="18" x14ac:dyDescent="0.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ht="18" x14ac:dyDescent="0.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ht="18" x14ac:dyDescent="0.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ht="18" x14ac:dyDescent="0.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ht="18" x14ac:dyDescent="0.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ht="18" x14ac:dyDescent="0.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ht="18" x14ac:dyDescent="0.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ht="18" x14ac:dyDescent="0.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ht="18" x14ac:dyDescent="0.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ht="18" x14ac:dyDescent="0.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ht="18" x14ac:dyDescent="0.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ht="18" x14ac:dyDescent="0.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ht="18" x14ac:dyDescent="0.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ht="18" x14ac:dyDescent="0.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ht="18" x14ac:dyDescent="0.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ht="18" x14ac:dyDescent="0.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ht="18" x14ac:dyDescent="0.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ht="18" x14ac:dyDescent="0.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ht="18" x14ac:dyDescent="0.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ht="18" x14ac:dyDescent="0.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ht="18" x14ac:dyDescent="0.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ht="18" x14ac:dyDescent="0.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ht="18" x14ac:dyDescent="0.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ht="18" x14ac:dyDescent="0.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ht="18" x14ac:dyDescent="0.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ht="18" x14ac:dyDescent="0.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ht="18" x14ac:dyDescent="0.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ht="18" x14ac:dyDescent="0.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ht="18" x14ac:dyDescent="0.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ht="18" x14ac:dyDescent="0.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ht="18" x14ac:dyDescent="0.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ht="18" x14ac:dyDescent="0.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ht="18" x14ac:dyDescent="0.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ht="18" x14ac:dyDescent="0.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ht="18" x14ac:dyDescent="0.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ht="18" x14ac:dyDescent="0.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ht="18" x14ac:dyDescent="0.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ht="18" x14ac:dyDescent="0.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ht="18" x14ac:dyDescent="0.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ht="18" x14ac:dyDescent="0.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ht="18" x14ac:dyDescent="0.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ht="18" x14ac:dyDescent="0.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ht="18" x14ac:dyDescent="0.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ht="18" x14ac:dyDescent="0.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ht="18" x14ac:dyDescent="0.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ht="18" x14ac:dyDescent="0.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ht="18" x14ac:dyDescent="0.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ht="18" x14ac:dyDescent="0.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ht="18" x14ac:dyDescent="0.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ht="18" x14ac:dyDescent="0.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ht="18" x14ac:dyDescent="0.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ht="18" x14ac:dyDescent="0.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ht="18" x14ac:dyDescent="0.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ht="18" x14ac:dyDescent="0.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ht="18" x14ac:dyDescent="0.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ht="18" x14ac:dyDescent="0.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ht="18" x14ac:dyDescent="0.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ht="18" x14ac:dyDescent="0.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ht="18" x14ac:dyDescent="0.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ht="18" x14ac:dyDescent="0.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ht="18" x14ac:dyDescent="0.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ht="18" x14ac:dyDescent="0.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ht="18" x14ac:dyDescent="0.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ht="18" x14ac:dyDescent="0.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ht="18" x14ac:dyDescent="0.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ht="18" x14ac:dyDescent="0.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ht="18" x14ac:dyDescent="0.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ht="18" x14ac:dyDescent="0.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ht="18" x14ac:dyDescent="0.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ht="18" x14ac:dyDescent="0.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ht="18" x14ac:dyDescent="0.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ht="18" x14ac:dyDescent="0.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ht="18" x14ac:dyDescent="0.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ht="18" x14ac:dyDescent="0.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ht="18" x14ac:dyDescent="0.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ht="18" x14ac:dyDescent="0.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ht="18" x14ac:dyDescent="0.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ht="18" x14ac:dyDescent="0.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ht="18" x14ac:dyDescent="0.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ht="18" x14ac:dyDescent="0.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ht="18" x14ac:dyDescent="0.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ht="18" x14ac:dyDescent="0.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ht="18" x14ac:dyDescent="0.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ht="18" x14ac:dyDescent="0.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ht="18" x14ac:dyDescent="0.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ht="18" x14ac:dyDescent="0.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ht="18" x14ac:dyDescent="0.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ht="18" x14ac:dyDescent="0.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ht="18" x14ac:dyDescent="0.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ht="18" x14ac:dyDescent="0.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ht="18" x14ac:dyDescent="0.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ht="18" x14ac:dyDescent="0.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ht="18" x14ac:dyDescent="0.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ht="18" x14ac:dyDescent="0.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ht="18" x14ac:dyDescent="0.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ht="18" x14ac:dyDescent="0.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ht="18" x14ac:dyDescent="0.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ht="18" x14ac:dyDescent="0.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ht="18" x14ac:dyDescent="0.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ht="18" x14ac:dyDescent="0.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ht="18" x14ac:dyDescent="0.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ht="18" x14ac:dyDescent="0.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ht="18" x14ac:dyDescent="0.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ht="18" x14ac:dyDescent="0.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ht="18" x14ac:dyDescent="0.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ht="18" x14ac:dyDescent="0.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ht="18" x14ac:dyDescent="0.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ht="18" x14ac:dyDescent="0.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ht="18" x14ac:dyDescent="0.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ht="18" x14ac:dyDescent="0.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ht="18" x14ac:dyDescent="0.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ht="18" x14ac:dyDescent="0.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ht="18" x14ac:dyDescent="0.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ht="18" x14ac:dyDescent="0.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ht="18" x14ac:dyDescent="0.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ht="18" x14ac:dyDescent="0.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ht="18" x14ac:dyDescent="0.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ht="18" x14ac:dyDescent="0.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ht="18" x14ac:dyDescent="0.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ht="18" x14ac:dyDescent="0.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ht="18" x14ac:dyDescent="0.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ht="18" x14ac:dyDescent="0.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ht="18" x14ac:dyDescent="0.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ht="18" x14ac:dyDescent="0.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ht="18" x14ac:dyDescent="0.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ht="18" x14ac:dyDescent="0.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ht="18" x14ac:dyDescent="0.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ht="18" x14ac:dyDescent="0.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ht="18" x14ac:dyDescent="0.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ht="18" x14ac:dyDescent="0.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ht="18" x14ac:dyDescent="0.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ht="18" x14ac:dyDescent="0.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ht="18" x14ac:dyDescent="0.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ht="18" x14ac:dyDescent="0.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ht="18" x14ac:dyDescent="0.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ht="18" x14ac:dyDescent="0.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ht="18" x14ac:dyDescent="0.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ht="18" x14ac:dyDescent="0.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ht="18" x14ac:dyDescent="0.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ht="18" x14ac:dyDescent="0.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ht="18" x14ac:dyDescent="0.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ht="18" x14ac:dyDescent="0.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ht="18" x14ac:dyDescent="0.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ht="18" x14ac:dyDescent="0.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ht="18" x14ac:dyDescent="0.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ht="18" x14ac:dyDescent="0.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ht="18" x14ac:dyDescent="0.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ht="18" x14ac:dyDescent="0.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ht="18" x14ac:dyDescent="0.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ht="18" x14ac:dyDescent="0.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ht="18" x14ac:dyDescent="0.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ht="18" x14ac:dyDescent="0.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ht="18" x14ac:dyDescent="0.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ht="18" x14ac:dyDescent="0.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ht="18" x14ac:dyDescent="0.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ht="18" x14ac:dyDescent="0.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ht="18" x14ac:dyDescent="0.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ht="18" x14ac:dyDescent="0.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ht="18" x14ac:dyDescent="0.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ht="18" x14ac:dyDescent="0.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ht="18" x14ac:dyDescent="0.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ht="18" x14ac:dyDescent="0.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ht="18" x14ac:dyDescent="0.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ht="18" x14ac:dyDescent="0.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ht="18" x14ac:dyDescent="0.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ht="18" x14ac:dyDescent="0.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ht="18" x14ac:dyDescent="0.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ht="18" x14ac:dyDescent="0.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ht="18" x14ac:dyDescent="0.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ht="18" x14ac:dyDescent="0.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ht="18" x14ac:dyDescent="0.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ht="18" x14ac:dyDescent="0.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ht="18" x14ac:dyDescent="0.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ht="18" x14ac:dyDescent="0.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ht="18" x14ac:dyDescent="0.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ht="18" x14ac:dyDescent="0.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ht="18" x14ac:dyDescent="0.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ht="18" x14ac:dyDescent="0.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ht="18" x14ac:dyDescent="0.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ht="18" x14ac:dyDescent="0.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ht="18" x14ac:dyDescent="0.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ht="18" x14ac:dyDescent="0.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ht="18" x14ac:dyDescent="0.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ht="18" x14ac:dyDescent="0.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ht="18" x14ac:dyDescent="0.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ht="18" x14ac:dyDescent="0.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ht="18" x14ac:dyDescent="0.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ht="18" x14ac:dyDescent="0.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ht="18" x14ac:dyDescent="0.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ht="18" x14ac:dyDescent="0.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ht="18" x14ac:dyDescent="0.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ht="18" x14ac:dyDescent="0.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ht="18" x14ac:dyDescent="0.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ht="18" x14ac:dyDescent="0.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ht="18" x14ac:dyDescent="0.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ht="18" x14ac:dyDescent="0.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ht="18" x14ac:dyDescent="0.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ht="18" x14ac:dyDescent="0.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ht="18" x14ac:dyDescent="0.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ht="18" x14ac:dyDescent="0.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ht="18" x14ac:dyDescent="0.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ht="18" x14ac:dyDescent="0.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ht="18" x14ac:dyDescent="0.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ht="18" x14ac:dyDescent="0.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ht="18" x14ac:dyDescent="0.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ht="18" x14ac:dyDescent="0.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ht="18" x14ac:dyDescent="0.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ht="18" x14ac:dyDescent="0.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ht="18" x14ac:dyDescent="0.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ht="18" x14ac:dyDescent="0.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ht="18" x14ac:dyDescent="0.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ht="18" x14ac:dyDescent="0.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ht="18" x14ac:dyDescent="0.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ht="18" x14ac:dyDescent="0.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ht="18" x14ac:dyDescent="0.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ht="18" x14ac:dyDescent="0.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ht="18" x14ac:dyDescent="0.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ht="18" x14ac:dyDescent="0.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ht="18" x14ac:dyDescent="0.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ht="18" x14ac:dyDescent="0.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ht="18" x14ac:dyDescent="0.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ht="18" x14ac:dyDescent="0.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ht="18" x14ac:dyDescent="0.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ht="18" x14ac:dyDescent="0.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ht="18" x14ac:dyDescent="0.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ht="18" x14ac:dyDescent="0.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ht="18" x14ac:dyDescent="0.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ht="18" x14ac:dyDescent="0.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ht="18" x14ac:dyDescent="0.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ht="18" x14ac:dyDescent="0.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ht="18" x14ac:dyDescent="0.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ht="18" x14ac:dyDescent="0.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ht="18" x14ac:dyDescent="0.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ht="18" x14ac:dyDescent="0.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ht="18" x14ac:dyDescent="0.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ht="18" x14ac:dyDescent="0.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ht="18" x14ac:dyDescent="0.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ht="18" x14ac:dyDescent="0.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ht="18" x14ac:dyDescent="0.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ht="18" x14ac:dyDescent="0.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ht="18" x14ac:dyDescent="0.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ht="18" x14ac:dyDescent="0.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ht="18" x14ac:dyDescent="0.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ht="18" x14ac:dyDescent="0.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ht="18" x14ac:dyDescent="0.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ht="18" x14ac:dyDescent="0.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ht="18" x14ac:dyDescent="0.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ht="18" x14ac:dyDescent="0.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ht="18" x14ac:dyDescent="0.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ht="18" x14ac:dyDescent="0.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ht="18" x14ac:dyDescent="0.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ht="18" x14ac:dyDescent="0.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ht="18" x14ac:dyDescent="0.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ht="18" x14ac:dyDescent="0.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ht="18" x14ac:dyDescent="0.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ht="18" x14ac:dyDescent="0.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ht="18" x14ac:dyDescent="0.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ht="18" x14ac:dyDescent="0.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ht="18" x14ac:dyDescent="0.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ht="18" x14ac:dyDescent="0.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ht="18" x14ac:dyDescent="0.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ht="18" x14ac:dyDescent="0.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ht="18" x14ac:dyDescent="0.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ht="18" x14ac:dyDescent="0.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ht="18" x14ac:dyDescent="0.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ht="18" x14ac:dyDescent="0.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ht="18" x14ac:dyDescent="0.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ht="18" x14ac:dyDescent="0.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ht="18" x14ac:dyDescent="0.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ht="18" x14ac:dyDescent="0.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ht="18" x14ac:dyDescent="0.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ht="18" x14ac:dyDescent="0.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ht="18" x14ac:dyDescent="0.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ht="18" x14ac:dyDescent="0.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ht="18" x14ac:dyDescent="0.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ht="18" x14ac:dyDescent="0.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ht="18" x14ac:dyDescent="0.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ht="18" x14ac:dyDescent="0.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ht="18" x14ac:dyDescent="0.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ht="18" x14ac:dyDescent="0.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ht="18" x14ac:dyDescent="0.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ht="18" x14ac:dyDescent="0.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ht="18" x14ac:dyDescent="0.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ht="18" x14ac:dyDescent="0.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ht="18" x14ac:dyDescent="0.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ht="18" x14ac:dyDescent="0.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ht="18" x14ac:dyDescent="0.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ht="18" x14ac:dyDescent="0.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ht="18" x14ac:dyDescent="0.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ht="18" x14ac:dyDescent="0.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ht="18" x14ac:dyDescent="0.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ht="18" x14ac:dyDescent="0.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ht="18" x14ac:dyDescent="0.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ht="18" x14ac:dyDescent="0.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ht="18" x14ac:dyDescent="0.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ht="18" x14ac:dyDescent="0.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ht="18" x14ac:dyDescent="0.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ht="18" x14ac:dyDescent="0.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ht="18" x14ac:dyDescent="0.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ht="18" x14ac:dyDescent="0.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ht="18" x14ac:dyDescent="0.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ht="18" x14ac:dyDescent="0.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ht="18" x14ac:dyDescent="0.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ht="18" x14ac:dyDescent="0.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ht="18" x14ac:dyDescent="0.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ht="18" x14ac:dyDescent="0.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ht="18" x14ac:dyDescent="0.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ht="18" x14ac:dyDescent="0.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ht="18" x14ac:dyDescent="0.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ht="18" x14ac:dyDescent="0.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ht="18" x14ac:dyDescent="0.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ht="18" x14ac:dyDescent="0.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ht="18" x14ac:dyDescent="0.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ht="18" x14ac:dyDescent="0.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ht="18" x14ac:dyDescent="0.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ht="18" x14ac:dyDescent="0.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ht="18" x14ac:dyDescent="0.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ht="18" x14ac:dyDescent="0.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ht="18" x14ac:dyDescent="0.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ht="18" x14ac:dyDescent="0.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ht="18" x14ac:dyDescent="0.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ht="18" x14ac:dyDescent="0.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ht="18" x14ac:dyDescent="0.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ht="18" x14ac:dyDescent="0.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ht="18" x14ac:dyDescent="0.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ht="18" x14ac:dyDescent="0.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ht="18" x14ac:dyDescent="0.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ht="18" x14ac:dyDescent="0.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ht="18" x14ac:dyDescent="0.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ht="18" x14ac:dyDescent="0.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ht="18" x14ac:dyDescent="0.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ht="18" x14ac:dyDescent="0.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ht="18" x14ac:dyDescent="0.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ht="18" x14ac:dyDescent="0.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ht="18" x14ac:dyDescent="0.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ht="18" x14ac:dyDescent="0.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ht="18" x14ac:dyDescent="0.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ht="18" x14ac:dyDescent="0.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ht="18" x14ac:dyDescent="0.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ht="18" x14ac:dyDescent="0.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ht="18" x14ac:dyDescent="0.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ht="18" x14ac:dyDescent="0.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ht="18" x14ac:dyDescent="0.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ht="18" x14ac:dyDescent="0.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ht="18" x14ac:dyDescent="0.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ht="18" x14ac:dyDescent="0.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ht="18" x14ac:dyDescent="0.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ht="18" x14ac:dyDescent="0.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ht="18" x14ac:dyDescent="0.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ht="18" x14ac:dyDescent="0.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ht="18" x14ac:dyDescent="0.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ht="18" x14ac:dyDescent="0.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ht="18" x14ac:dyDescent="0.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ht="18" x14ac:dyDescent="0.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ht="18" x14ac:dyDescent="0.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ht="18" x14ac:dyDescent="0.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ht="18" x14ac:dyDescent="0.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ht="18" x14ac:dyDescent="0.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ht="18" x14ac:dyDescent="0.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ht="18" x14ac:dyDescent="0.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ht="18" x14ac:dyDescent="0.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ht="18" x14ac:dyDescent="0.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ht="18" x14ac:dyDescent="0.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ht="18" x14ac:dyDescent="0.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ht="18" x14ac:dyDescent="0.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ht="18" x14ac:dyDescent="0.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ht="18" x14ac:dyDescent="0.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ht="18" x14ac:dyDescent="0.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ht="18" x14ac:dyDescent="0.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ht="18" x14ac:dyDescent="0.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ht="18" x14ac:dyDescent="0.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ht="18" x14ac:dyDescent="0.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ht="18" x14ac:dyDescent="0.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ht="18" x14ac:dyDescent="0.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ht="18" x14ac:dyDescent="0.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ht="18" x14ac:dyDescent="0.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ht="18" x14ac:dyDescent="0.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ht="18" x14ac:dyDescent="0.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ht="18" x14ac:dyDescent="0.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ht="18" x14ac:dyDescent="0.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ht="18" x14ac:dyDescent="0.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ht="18" x14ac:dyDescent="0.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ht="18" x14ac:dyDescent="0.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ht="18" x14ac:dyDescent="0.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ht="18" x14ac:dyDescent="0.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ht="18" x14ac:dyDescent="0.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ht="18" x14ac:dyDescent="0.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ht="18" x14ac:dyDescent="0.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ht="18" x14ac:dyDescent="0.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ht="18" x14ac:dyDescent="0.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ht="18" x14ac:dyDescent="0.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ht="18" x14ac:dyDescent="0.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ht="18" x14ac:dyDescent="0.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ht="18" x14ac:dyDescent="0.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ht="18" x14ac:dyDescent="0.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ht="18" x14ac:dyDescent="0.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ht="18" x14ac:dyDescent="0.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ht="18" x14ac:dyDescent="0.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ht="18" x14ac:dyDescent="0.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ht="18" x14ac:dyDescent="0.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ht="18" x14ac:dyDescent="0.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ht="18" x14ac:dyDescent="0.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ht="18" x14ac:dyDescent="0.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ht="18" x14ac:dyDescent="0.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ht="18" x14ac:dyDescent="0.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ht="18" x14ac:dyDescent="0.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ht="18" x14ac:dyDescent="0.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ht="18" x14ac:dyDescent="0.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ht="18" x14ac:dyDescent="0.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ht="18" x14ac:dyDescent="0.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ht="18" x14ac:dyDescent="0.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ht="18" x14ac:dyDescent="0.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ht="18" x14ac:dyDescent="0.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ht="18" x14ac:dyDescent="0.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ht="18" x14ac:dyDescent="0.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ht="18" x14ac:dyDescent="0.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ht="18" x14ac:dyDescent="0.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ht="18" x14ac:dyDescent="0.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ht="18" x14ac:dyDescent="0.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ht="18" x14ac:dyDescent="0.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ht="18" x14ac:dyDescent="0.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ht="18" x14ac:dyDescent="0.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ht="18" x14ac:dyDescent="0.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ht="18" x14ac:dyDescent="0.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ht="18" x14ac:dyDescent="0.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ht="18" x14ac:dyDescent="0.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ht="18" x14ac:dyDescent="0.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ht="18" x14ac:dyDescent="0.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ht="18" x14ac:dyDescent="0.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ht="18" x14ac:dyDescent="0.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ht="18" x14ac:dyDescent="0.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ht="18" x14ac:dyDescent="0.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ht="18" x14ac:dyDescent="0.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ht="18" x14ac:dyDescent="0.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ht="18" x14ac:dyDescent="0.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ht="18" x14ac:dyDescent="0.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ht="18" x14ac:dyDescent="0.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ht="18" x14ac:dyDescent="0.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ht="18" x14ac:dyDescent="0.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ht="18" x14ac:dyDescent="0.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ht="18" x14ac:dyDescent="0.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ht="18" x14ac:dyDescent="0.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ht="18" x14ac:dyDescent="0.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ht="18" x14ac:dyDescent="0.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ht="18" x14ac:dyDescent="0.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ht="18" x14ac:dyDescent="0.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ht="18" x14ac:dyDescent="0.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ht="18" x14ac:dyDescent="0.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ht="18" x14ac:dyDescent="0.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ht="18" x14ac:dyDescent="0.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ht="18" x14ac:dyDescent="0.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ht="18" x14ac:dyDescent="0.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ht="18" x14ac:dyDescent="0.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ht="18" x14ac:dyDescent="0.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ht="18" x14ac:dyDescent="0.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ht="18" x14ac:dyDescent="0.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ht="18" x14ac:dyDescent="0.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ht="18" x14ac:dyDescent="0.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ht="18" x14ac:dyDescent="0.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ht="18" x14ac:dyDescent="0.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ht="18" x14ac:dyDescent="0.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ht="18" x14ac:dyDescent="0.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ht="18" x14ac:dyDescent="0.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ht="18" x14ac:dyDescent="0.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ht="18" x14ac:dyDescent="0.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ht="18" x14ac:dyDescent="0.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ht="18" x14ac:dyDescent="0.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ht="18" x14ac:dyDescent="0.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ht="18" x14ac:dyDescent="0.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ht="18" x14ac:dyDescent="0.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ht="18" x14ac:dyDescent="0.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ht="18" x14ac:dyDescent="0.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ht="18" x14ac:dyDescent="0.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ht="18" x14ac:dyDescent="0.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ht="18" x14ac:dyDescent="0.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ht="18" x14ac:dyDescent="0.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ht="18" x14ac:dyDescent="0.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ht="18" x14ac:dyDescent="0.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ht="18" x14ac:dyDescent="0.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ht="18" x14ac:dyDescent="0.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ht="18" x14ac:dyDescent="0.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ht="18" x14ac:dyDescent="0.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ht="18" x14ac:dyDescent="0.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ht="18" x14ac:dyDescent="0.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ht="18" x14ac:dyDescent="0.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ht="18" x14ac:dyDescent="0.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ht="18" x14ac:dyDescent="0.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ht="18" x14ac:dyDescent="0.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ht="18" x14ac:dyDescent="0.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ht="18" x14ac:dyDescent="0.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ht="18" x14ac:dyDescent="0.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ht="18" x14ac:dyDescent="0.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ht="18" x14ac:dyDescent="0.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ht="18" x14ac:dyDescent="0.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ht="18" x14ac:dyDescent="0.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ht="18" x14ac:dyDescent="0.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ht="18" x14ac:dyDescent="0.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ht="18" x14ac:dyDescent="0.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ht="18" x14ac:dyDescent="0.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ht="18" x14ac:dyDescent="0.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ht="18" x14ac:dyDescent="0.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ht="18" x14ac:dyDescent="0.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ht="18" x14ac:dyDescent="0.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ht="18" x14ac:dyDescent="0.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ht="18" x14ac:dyDescent="0.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ht="18" x14ac:dyDescent="0.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ht="18" x14ac:dyDescent="0.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ht="18" x14ac:dyDescent="0.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ht="18" x14ac:dyDescent="0.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ht="18" x14ac:dyDescent="0.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ht="18" x14ac:dyDescent="0.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ht="18" x14ac:dyDescent="0.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ht="18" x14ac:dyDescent="0.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ht="18" x14ac:dyDescent="0.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ht="18" x14ac:dyDescent="0.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ht="18" x14ac:dyDescent="0.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ht="18" x14ac:dyDescent="0.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ht="18" x14ac:dyDescent="0.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ht="18" x14ac:dyDescent="0.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ht="18" x14ac:dyDescent="0.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ht="18" x14ac:dyDescent="0.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ht="18" x14ac:dyDescent="0.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ht="18" x14ac:dyDescent="0.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ht="18" x14ac:dyDescent="0.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ht="18" x14ac:dyDescent="0.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ht="18" x14ac:dyDescent="0.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ht="18" x14ac:dyDescent="0.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ht="18" x14ac:dyDescent="0.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ht="18" x14ac:dyDescent="0.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ht="18" x14ac:dyDescent="0.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ht="18" x14ac:dyDescent="0.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ht="18" x14ac:dyDescent="0.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ht="18" x14ac:dyDescent="0.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ht="18" x14ac:dyDescent="0.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ht="18" x14ac:dyDescent="0.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ht="18" x14ac:dyDescent="0.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ht="18" x14ac:dyDescent="0.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ht="18" x14ac:dyDescent="0.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ht="18" x14ac:dyDescent="0.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ht="18" x14ac:dyDescent="0.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ht="18" x14ac:dyDescent="0.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ht="18" x14ac:dyDescent="0.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ht="18" x14ac:dyDescent="0.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ht="18" x14ac:dyDescent="0.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ht="18" x14ac:dyDescent="0.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ht="18" x14ac:dyDescent="0.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ht="18" x14ac:dyDescent="0.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ht="18" x14ac:dyDescent="0.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ht="18" x14ac:dyDescent="0.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ht="18" x14ac:dyDescent="0.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ht="18" x14ac:dyDescent="0.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ht="18" x14ac:dyDescent="0.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ht="18" x14ac:dyDescent="0.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ht="18" x14ac:dyDescent="0.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ht="18" x14ac:dyDescent="0.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ht="18" x14ac:dyDescent="0.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ht="18" x14ac:dyDescent="0.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ht="18" x14ac:dyDescent="0.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ht="18" x14ac:dyDescent="0.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ht="18" x14ac:dyDescent="0.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ht="18" x14ac:dyDescent="0.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ht="18" x14ac:dyDescent="0.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ht="18" x14ac:dyDescent="0.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ht="18" x14ac:dyDescent="0.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ht="18" x14ac:dyDescent="0.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ht="18" x14ac:dyDescent="0.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ht="18" x14ac:dyDescent="0.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ht="18" x14ac:dyDescent="0.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ht="18" x14ac:dyDescent="0.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ht="18" x14ac:dyDescent="0.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ht="18" x14ac:dyDescent="0.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ht="18" x14ac:dyDescent="0.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ht="18" x14ac:dyDescent="0.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ht="18" x14ac:dyDescent="0.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ht="18" x14ac:dyDescent="0.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ht="18" x14ac:dyDescent="0.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ht="18" x14ac:dyDescent="0.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ht="18" x14ac:dyDescent="0.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ht="18" x14ac:dyDescent="0.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ht="18" x14ac:dyDescent="0.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ht="18" x14ac:dyDescent="0.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ht="18" x14ac:dyDescent="0.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ht="18" x14ac:dyDescent="0.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ht="18" x14ac:dyDescent="0.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ht="18" x14ac:dyDescent="0.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ht="18" x14ac:dyDescent="0.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ht="18" x14ac:dyDescent="0.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ht="18" x14ac:dyDescent="0.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ht="18" x14ac:dyDescent="0.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ht="18" x14ac:dyDescent="0.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ht="18" x14ac:dyDescent="0.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ht="18" x14ac:dyDescent="0.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ht="18" x14ac:dyDescent="0.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ht="18" x14ac:dyDescent="0.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ht="18" x14ac:dyDescent="0.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ht="18" x14ac:dyDescent="0.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ht="18" x14ac:dyDescent="0.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ht="18" x14ac:dyDescent="0.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ht="18" x14ac:dyDescent="0.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ht="18" x14ac:dyDescent="0.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ht="18" x14ac:dyDescent="0.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ht="18" x14ac:dyDescent="0.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ht="18" x14ac:dyDescent="0.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ht="18" x14ac:dyDescent="0.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ht="18" x14ac:dyDescent="0.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ht="18" x14ac:dyDescent="0.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ht="18" x14ac:dyDescent="0.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ht="18" x14ac:dyDescent="0.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ht="18" x14ac:dyDescent="0.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ht="18" x14ac:dyDescent="0.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ht="18" x14ac:dyDescent="0.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ht="18" x14ac:dyDescent="0.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ht="18" x14ac:dyDescent="0.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ht="18" x14ac:dyDescent="0.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ht="18" x14ac:dyDescent="0.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ht="18" x14ac:dyDescent="0.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ht="18" x14ac:dyDescent="0.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ht="18" x14ac:dyDescent="0.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ht="18" x14ac:dyDescent="0.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ht="18" x14ac:dyDescent="0.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ht="18" x14ac:dyDescent="0.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ht="18" x14ac:dyDescent="0.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ht="18" x14ac:dyDescent="0.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ht="18" x14ac:dyDescent="0.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ht="18" x14ac:dyDescent="0.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ht="18" x14ac:dyDescent="0.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ht="18" x14ac:dyDescent="0.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ht="18" x14ac:dyDescent="0.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ht="18" x14ac:dyDescent="0.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ht="18" x14ac:dyDescent="0.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ht="18" x14ac:dyDescent="0.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ht="18" x14ac:dyDescent="0.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ht="18" x14ac:dyDescent="0.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ht="18" x14ac:dyDescent="0.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ht="18" x14ac:dyDescent="0.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ht="18" x14ac:dyDescent="0.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ht="18" x14ac:dyDescent="0.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ht="18" x14ac:dyDescent="0.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ht="18" x14ac:dyDescent="0.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ht="18" x14ac:dyDescent="0.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ht="18" x14ac:dyDescent="0.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ht="18" x14ac:dyDescent="0.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ht="18" x14ac:dyDescent="0.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ht="18" x14ac:dyDescent="0.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ht="18" x14ac:dyDescent="0.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ht="18" x14ac:dyDescent="0.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ht="18" x14ac:dyDescent="0.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ht="18" x14ac:dyDescent="0.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ht="18" x14ac:dyDescent="0.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ht="18" x14ac:dyDescent="0.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ht="18" x14ac:dyDescent="0.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ht="18" x14ac:dyDescent="0.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ht="18" x14ac:dyDescent="0.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ht="18" x14ac:dyDescent="0.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ht="18" x14ac:dyDescent="0.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ht="18" x14ac:dyDescent="0.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ht="18" x14ac:dyDescent="0.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ht="18" x14ac:dyDescent="0.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ht="18" x14ac:dyDescent="0.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ht="18" x14ac:dyDescent="0.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ht="18" x14ac:dyDescent="0.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ht="18" x14ac:dyDescent="0.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ht="18" x14ac:dyDescent="0.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ht="18" x14ac:dyDescent="0.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ht="18" x14ac:dyDescent="0.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ht="18" x14ac:dyDescent="0.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ht="18" x14ac:dyDescent="0.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ht="18" x14ac:dyDescent="0.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ht="18" x14ac:dyDescent="0.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ht="18" x14ac:dyDescent="0.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ht="18" x14ac:dyDescent="0.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ht="18" x14ac:dyDescent="0.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ht="18" x14ac:dyDescent="0.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ht="18" x14ac:dyDescent="0.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ht="18" x14ac:dyDescent="0.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ht="18" x14ac:dyDescent="0.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ht="18" x14ac:dyDescent="0.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ht="18" x14ac:dyDescent="0.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ht="18" x14ac:dyDescent="0.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ht="18" x14ac:dyDescent="0.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ht="18" x14ac:dyDescent="0.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ht="18" x14ac:dyDescent="0.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ht="18" x14ac:dyDescent="0.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ht="18" x14ac:dyDescent="0.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ht="18" x14ac:dyDescent="0.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ht="18" x14ac:dyDescent="0.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ht="18" x14ac:dyDescent="0.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ht="18" x14ac:dyDescent="0.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ht="18" x14ac:dyDescent="0.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ht="18" x14ac:dyDescent="0.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ht="18" x14ac:dyDescent="0.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ht="18" x14ac:dyDescent="0.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ht="18" x14ac:dyDescent="0.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ht="18" x14ac:dyDescent="0.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ht="18" x14ac:dyDescent="0.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ht="18" x14ac:dyDescent="0.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ht="18" x14ac:dyDescent="0.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ht="18" x14ac:dyDescent="0.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ht="18" x14ac:dyDescent="0.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ht="18" x14ac:dyDescent="0.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ht="18" x14ac:dyDescent="0.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ht="18" x14ac:dyDescent="0.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ht="18" x14ac:dyDescent="0.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ht="18" x14ac:dyDescent="0.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ht="18" x14ac:dyDescent="0.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ht="18" x14ac:dyDescent="0.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ht="18" x14ac:dyDescent="0.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ht="18" x14ac:dyDescent="0.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ht="18" x14ac:dyDescent="0.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ht="18" x14ac:dyDescent="0.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ht="18" x14ac:dyDescent="0.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ht="18" x14ac:dyDescent="0.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ht="18" x14ac:dyDescent="0.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ht="18" x14ac:dyDescent="0.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ht="18" x14ac:dyDescent="0.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ht="18" x14ac:dyDescent="0.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ht="18" x14ac:dyDescent="0.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ht="18" x14ac:dyDescent="0.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ht="18" x14ac:dyDescent="0.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ht="18" x14ac:dyDescent="0.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ht="18" x14ac:dyDescent="0.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ht="18" x14ac:dyDescent="0.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ht="18" x14ac:dyDescent="0.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ht="18" x14ac:dyDescent="0.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ht="18" x14ac:dyDescent="0.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ht="18" x14ac:dyDescent="0.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ht="18" x14ac:dyDescent="0.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ht="18" x14ac:dyDescent="0.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ht="18" x14ac:dyDescent="0.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ht="18" x14ac:dyDescent="0.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ht="18" x14ac:dyDescent="0.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ht="18" x14ac:dyDescent="0.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ht="18" x14ac:dyDescent="0.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ht="18" x14ac:dyDescent="0.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ht="18" x14ac:dyDescent="0.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ht="18" x14ac:dyDescent="0.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ht="18" x14ac:dyDescent="0.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ht="18" x14ac:dyDescent="0.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ht="18" x14ac:dyDescent="0.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ht="18" x14ac:dyDescent="0.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ht="18" x14ac:dyDescent="0.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ht="18" x14ac:dyDescent="0.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ht="18" x14ac:dyDescent="0.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ht="18" x14ac:dyDescent="0.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ht="18" x14ac:dyDescent="0.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ht="18" x14ac:dyDescent="0.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ht="18" x14ac:dyDescent="0.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ht="18" x14ac:dyDescent="0.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ht="18" x14ac:dyDescent="0.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ht="18" x14ac:dyDescent="0.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ht="18" x14ac:dyDescent="0.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ht="18" x14ac:dyDescent="0.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ht="18" x14ac:dyDescent="0.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ht="18" x14ac:dyDescent="0.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ht="18" x14ac:dyDescent="0.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ht="18" x14ac:dyDescent="0.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ht="18" x14ac:dyDescent="0.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ht="18" x14ac:dyDescent="0.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ht="18" x14ac:dyDescent="0.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ht="18" x14ac:dyDescent="0.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ht="18" x14ac:dyDescent="0.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ht="18" x14ac:dyDescent="0.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ht="18" x14ac:dyDescent="0.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ht="18" x14ac:dyDescent="0.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ht="18" x14ac:dyDescent="0.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ht="18" x14ac:dyDescent="0.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ht="18" x14ac:dyDescent="0.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ht="18" x14ac:dyDescent="0.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ht="18" x14ac:dyDescent="0.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ht="18" x14ac:dyDescent="0.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ht="18" x14ac:dyDescent="0.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ht="18" x14ac:dyDescent="0.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ht="18" x14ac:dyDescent="0.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ht="18" x14ac:dyDescent="0.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ht="18" x14ac:dyDescent="0.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ht="18" x14ac:dyDescent="0.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ht="18" x14ac:dyDescent="0.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ht="18" x14ac:dyDescent="0.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ht="18" x14ac:dyDescent="0.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ht="18" x14ac:dyDescent="0.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ht="18" x14ac:dyDescent="0.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ht="18" x14ac:dyDescent="0.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ht="18" x14ac:dyDescent="0.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ht="18" x14ac:dyDescent="0.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ht="18" x14ac:dyDescent="0.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ht="18" x14ac:dyDescent="0.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ht="18" x14ac:dyDescent="0.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ht="18" x14ac:dyDescent="0.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ht="18" x14ac:dyDescent="0.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ht="18" x14ac:dyDescent="0.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ht="18" x14ac:dyDescent="0.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ht="18" x14ac:dyDescent="0.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ht="18" x14ac:dyDescent="0.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ht="18" x14ac:dyDescent="0.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ht="18" x14ac:dyDescent="0.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ht="18" x14ac:dyDescent="0.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ht="18" x14ac:dyDescent="0.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ht="18" x14ac:dyDescent="0.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ht="18" x14ac:dyDescent="0.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ht="18" x14ac:dyDescent="0.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ht="18" x14ac:dyDescent="0.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ht="18" x14ac:dyDescent="0.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ht="18" x14ac:dyDescent="0.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ht="18" x14ac:dyDescent="0.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ht="18" x14ac:dyDescent="0.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ht="18" x14ac:dyDescent="0.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ht="18" x14ac:dyDescent="0.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ht="18" x14ac:dyDescent="0.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ht="18" x14ac:dyDescent="0.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ht="18" x14ac:dyDescent="0.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ht="18" x14ac:dyDescent="0.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ht="18" x14ac:dyDescent="0.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ht="18" x14ac:dyDescent="0.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ht="18" x14ac:dyDescent="0.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ht="18" x14ac:dyDescent="0.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ht="18" x14ac:dyDescent="0.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ht="18" x14ac:dyDescent="0.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ht="18" x14ac:dyDescent="0.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ht="18" x14ac:dyDescent="0.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ht="18" x14ac:dyDescent="0.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ht="18" x14ac:dyDescent="0.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ht="18" x14ac:dyDescent="0.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ht="18" x14ac:dyDescent="0.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ht="18" x14ac:dyDescent="0.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ht="18" x14ac:dyDescent="0.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ht="18" x14ac:dyDescent="0.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ht="18" x14ac:dyDescent="0.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ht="18" x14ac:dyDescent="0.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ht="18" x14ac:dyDescent="0.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ht="18" x14ac:dyDescent="0.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ht="18" x14ac:dyDescent="0.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ht="18" x14ac:dyDescent="0.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ht="18" x14ac:dyDescent="0.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ht="18" x14ac:dyDescent="0.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ht="18" x14ac:dyDescent="0.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ht="18" x14ac:dyDescent="0.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ht="18" x14ac:dyDescent="0.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ht="18" x14ac:dyDescent="0.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ht="18" x14ac:dyDescent="0.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ht="18" x14ac:dyDescent="0.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ht="18" x14ac:dyDescent="0.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ht="18" x14ac:dyDescent="0.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ht="18" x14ac:dyDescent="0.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ht="18" x14ac:dyDescent="0.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ht="18" x14ac:dyDescent="0.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ht="18" x14ac:dyDescent="0.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ht="18" x14ac:dyDescent="0.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ht="18" x14ac:dyDescent="0.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ht="18" x14ac:dyDescent="0.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ht="18" x14ac:dyDescent="0.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ht="18" x14ac:dyDescent="0.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ht="18" x14ac:dyDescent="0.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ht="18" x14ac:dyDescent="0.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ht="18" x14ac:dyDescent="0.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ht="18" x14ac:dyDescent="0.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ht="18" x14ac:dyDescent="0.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ht="18" x14ac:dyDescent="0.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ht="18" x14ac:dyDescent="0.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ht="18" x14ac:dyDescent="0.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ht="18" x14ac:dyDescent="0.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ht="18" x14ac:dyDescent="0.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ht="18" x14ac:dyDescent="0.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ht="18" x14ac:dyDescent="0.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ht="18" x14ac:dyDescent="0.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ht="18" x14ac:dyDescent="0.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ht="18" x14ac:dyDescent="0.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ht="18" x14ac:dyDescent="0.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ht="18" x14ac:dyDescent="0.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ht="18" x14ac:dyDescent="0.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ht="18" x14ac:dyDescent="0.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ht="18" x14ac:dyDescent="0.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ht="18" x14ac:dyDescent="0.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ht="18" x14ac:dyDescent="0.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ht="18" x14ac:dyDescent="0.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ht="18" x14ac:dyDescent="0.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ht="18" x14ac:dyDescent="0.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ht="18" x14ac:dyDescent="0.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ht="18" x14ac:dyDescent="0.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ht="18" x14ac:dyDescent="0.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ht="18" x14ac:dyDescent="0.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ht="18" x14ac:dyDescent="0.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ht="18" x14ac:dyDescent="0.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ht="18" x14ac:dyDescent="0.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ht="18" x14ac:dyDescent="0.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ht="18" x14ac:dyDescent="0.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ht="18" x14ac:dyDescent="0.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ht="18" x14ac:dyDescent="0.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ht="18" x14ac:dyDescent="0.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ht="18" x14ac:dyDescent="0.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ht="18" x14ac:dyDescent="0.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ht="18" x14ac:dyDescent="0.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ht="18" x14ac:dyDescent="0.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ht="18" x14ac:dyDescent="0.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ht="18" x14ac:dyDescent="0.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ht="18" x14ac:dyDescent="0.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ht="18" x14ac:dyDescent="0.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ht="18" x14ac:dyDescent="0.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ht="18" x14ac:dyDescent="0.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ht="18" x14ac:dyDescent="0.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ht="18" x14ac:dyDescent="0.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ht="18" x14ac:dyDescent="0.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ht="18" x14ac:dyDescent="0.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ht="18" x14ac:dyDescent="0.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ht="18" x14ac:dyDescent="0.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ht="18" x14ac:dyDescent="0.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ht="18" x14ac:dyDescent="0.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ht="18" x14ac:dyDescent="0.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ht="18" x14ac:dyDescent="0.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ht="18" x14ac:dyDescent="0.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ht="18" x14ac:dyDescent="0.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ht="18" x14ac:dyDescent="0.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ht="18" x14ac:dyDescent="0.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ht="18" x14ac:dyDescent="0.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ht="18" x14ac:dyDescent="0.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ht="18" x14ac:dyDescent="0.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ht="18" x14ac:dyDescent="0.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ht="18" x14ac:dyDescent="0.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ht="18" x14ac:dyDescent="0.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ht="18" x14ac:dyDescent="0.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ht="18" x14ac:dyDescent="0.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ht="18" x14ac:dyDescent="0.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ht="18" x14ac:dyDescent="0.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ht="18" x14ac:dyDescent="0.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ht="18" x14ac:dyDescent="0.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ht="18" x14ac:dyDescent="0.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ht="18" x14ac:dyDescent="0.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ht="18" x14ac:dyDescent="0.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ht="18" x14ac:dyDescent="0.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ht="18" x14ac:dyDescent="0.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ht="18" x14ac:dyDescent="0.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ht="18" x14ac:dyDescent="0.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ht="18" x14ac:dyDescent="0.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ht="18" x14ac:dyDescent="0.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ht="18" x14ac:dyDescent="0.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ht="18" x14ac:dyDescent="0.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ht="18" x14ac:dyDescent="0.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ht="18" x14ac:dyDescent="0.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ht="18" x14ac:dyDescent="0.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ht="18" x14ac:dyDescent="0.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ht="18" x14ac:dyDescent="0.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ht="18" x14ac:dyDescent="0.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ht="18" x14ac:dyDescent="0.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ht="18" x14ac:dyDescent="0.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ht="18" x14ac:dyDescent="0.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ht="18" x14ac:dyDescent="0.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ht="18" x14ac:dyDescent="0.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ht="18" x14ac:dyDescent="0.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ht="18" x14ac:dyDescent="0.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ht="18" x14ac:dyDescent="0.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ht="18" x14ac:dyDescent="0.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ht="18" x14ac:dyDescent="0.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ht="18" x14ac:dyDescent="0.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ht="18" x14ac:dyDescent="0.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ht="18" x14ac:dyDescent="0.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ht="18" x14ac:dyDescent="0.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ht="18" x14ac:dyDescent="0.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ht="18" x14ac:dyDescent="0.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ht="18" x14ac:dyDescent="0.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ht="18" x14ac:dyDescent="0.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ht="18" x14ac:dyDescent="0.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ht="18" x14ac:dyDescent="0.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ht="18" x14ac:dyDescent="0.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ht="18" x14ac:dyDescent="0.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ht="18" x14ac:dyDescent="0.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ht="18" x14ac:dyDescent="0.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ht="18" x14ac:dyDescent="0.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ht="18" x14ac:dyDescent="0.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ht="18" x14ac:dyDescent="0.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ht="18" x14ac:dyDescent="0.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ht="18" x14ac:dyDescent="0.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8FC93-904E-43BD-8442-99B687901BE1}">
  <dimension ref="A1:W19"/>
  <sheetViews>
    <sheetView workbookViewId="0">
      <selection activeCell="B11" sqref="B11"/>
    </sheetView>
  </sheetViews>
  <sheetFormatPr defaultRowHeight="18" x14ac:dyDescent="0.5"/>
  <cols>
    <col min="1" max="2" width="25.6640625" bestFit="1" customWidth="1"/>
    <col min="3" max="3" width="13.5546875" bestFit="1" customWidth="1"/>
    <col min="4" max="4" width="27.6640625" bestFit="1" customWidth="1"/>
    <col min="5" max="5" width="14" bestFit="1" customWidth="1"/>
    <col min="6" max="6" width="27.6640625" bestFit="1" customWidth="1"/>
  </cols>
  <sheetData>
    <row r="1" spans="1:23" x14ac:dyDescent="0.5">
      <c r="A1" s="3" t="s">
        <v>66</v>
      </c>
      <c r="B1" s="3"/>
      <c r="C1" s="3"/>
      <c r="D1" s="3"/>
      <c r="E1" s="3"/>
      <c r="F1" s="3"/>
      <c r="G1" s="3"/>
      <c r="H1" s="3"/>
      <c r="I1" s="3"/>
      <c r="J1" s="3"/>
      <c r="K1" s="3"/>
      <c r="L1" s="3"/>
      <c r="M1" s="3"/>
      <c r="N1" s="3"/>
      <c r="O1" s="3"/>
      <c r="P1" s="3"/>
      <c r="Q1" s="3"/>
      <c r="R1" s="3"/>
      <c r="S1" s="3"/>
      <c r="T1" s="3"/>
      <c r="U1" s="3"/>
      <c r="V1" s="3"/>
      <c r="W1" s="3"/>
    </row>
    <row r="2" spans="1:23" x14ac:dyDescent="0.5">
      <c r="A2" s="3"/>
      <c r="B2" s="3"/>
      <c r="C2" s="3"/>
      <c r="D2" s="3"/>
      <c r="E2" s="3"/>
      <c r="F2" s="3"/>
      <c r="G2" s="3"/>
      <c r="H2" s="3"/>
      <c r="I2" s="3"/>
      <c r="J2" s="3"/>
      <c r="K2" s="3"/>
      <c r="L2" s="3"/>
      <c r="M2" s="3"/>
      <c r="N2" s="3"/>
      <c r="O2" s="3"/>
      <c r="P2" s="3"/>
      <c r="Q2" s="3"/>
      <c r="R2" s="3"/>
      <c r="S2" s="3"/>
      <c r="T2" s="3"/>
      <c r="U2" s="3"/>
      <c r="V2" s="3"/>
      <c r="W2" s="3"/>
    </row>
    <row r="5" spans="1:23" x14ac:dyDescent="0.5">
      <c r="A5" t="s">
        <v>68</v>
      </c>
      <c r="C5" s="1" t="s">
        <v>71</v>
      </c>
      <c r="D5" t="s">
        <v>69</v>
      </c>
    </row>
    <row r="6" spans="1:23" x14ac:dyDescent="0.5">
      <c r="A6" s="4">
        <v>1470</v>
      </c>
      <c r="C6" s="2" t="s">
        <v>43</v>
      </c>
      <c r="D6" s="4">
        <v>1054</v>
      </c>
    </row>
    <row r="7" spans="1:23" x14ac:dyDescent="0.5">
      <c r="C7" s="2" t="s">
        <v>35</v>
      </c>
      <c r="D7" s="4">
        <v>416</v>
      </c>
    </row>
    <row r="8" spans="1:23" x14ac:dyDescent="0.5">
      <c r="C8" s="2" t="s">
        <v>62</v>
      </c>
      <c r="D8" s="4">
        <v>1470</v>
      </c>
    </row>
    <row r="9" spans="1:23" x14ac:dyDescent="0.5">
      <c r="A9" t="s">
        <v>63</v>
      </c>
      <c r="B9" t="s">
        <v>79</v>
      </c>
      <c r="C9" t="s">
        <v>76</v>
      </c>
      <c r="D9" t="s">
        <v>74</v>
      </c>
      <c r="E9" t="s">
        <v>77</v>
      </c>
    </row>
    <row r="10" spans="1:23" x14ac:dyDescent="0.5">
      <c r="A10">
        <f>GETPIVOTDATA("EmployeeCount",$A$5)</f>
        <v>1470</v>
      </c>
      <c r="B10" s="6" t="str">
        <f>'Total Employees'!$A$85</f>
        <v>Research &amp; Development</v>
      </c>
      <c r="C10" s="8">
        <f>C18</f>
        <v>0.16122448979591836</v>
      </c>
      <c r="D10" s="6">
        <f>'Total Employees'!$B$86</f>
        <v>15.209523809523809</v>
      </c>
      <c r="E10">
        <f>'Total Employees'!$B$95</f>
        <v>277</v>
      </c>
    </row>
    <row r="16" spans="1:23" x14ac:dyDescent="0.5">
      <c r="A16" s="1" t="s">
        <v>64</v>
      </c>
      <c r="B16" t="s">
        <v>68</v>
      </c>
    </row>
    <row r="17" spans="1:3" x14ac:dyDescent="0.5">
      <c r="A17" s="2" t="s">
        <v>43</v>
      </c>
      <c r="B17" s="4">
        <v>1233</v>
      </c>
      <c r="C17" s="7">
        <f>GETPIVOTDATA("EmployeeCount",$A$16,"Attrition","No")/GETPIVOTDATA("EmployeeCount",$A$16)</f>
        <v>0.83877551020408159</v>
      </c>
    </row>
    <row r="18" spans="1:3" x14ac:dyDescent="0.5">
      <c r="A18" s="2" t="s">
        <v>35</v>
      </c>
      <c r="B18" s="4">
        <v>237</v>
      </c>
      <c r="C18" s="7">
        <f>GETPIVOTDATA("EmployeeCount",$A$16,"Attrition","Yes")/GETPIVOTDATA("EmployeeCount",$A$16)</f>
        <v>0.16122448979591836</v>
      </c>
    </row>
    <row r="19" spans="1:3" x14ac:dyDescent="0.5">
      <c r="A19" s="2" t="s">
        <v>62</v>
      </c>
      <c r="B19" s="4">
        <v>1470</v>
      </c>
    </row>
  </sheetData>
  <mergeCells count="1">
    <mergeCell ref="A1:W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DC178-3056-4D6A-9B72-4CF7DB1809A7}">
  <dimension ref="A6:C97"/>
  <sheetViews>
    <sheetView workbookViewId="0">
      <selection activeCell="A36" sqref="A36"/>
    </sheetView>
  </sheetViews>
  <sheetFormatPr defaultRowHeight="18" x14ac:dyDescent="0.5"/>
  <cols>
    <col min="1" max="1" width="18.21875" bestFit="1" customWidth="1"/>
    <col min="2" max="2" width="27.6640625" bestFit="1" customWidth="1"/>
    <col min="3" max="3" width="23.44140625" bestFit="1" customWidth="1"/>
  </cols>
  <sheetData>
    <row r="6" spans="1:3" x14ac:dyDescent="0.5">
      <c r="A6" s="1" t="s">
        <v>11</v>
      </c>
      <c r="B6" t="s">
        <v>67</v>
      </c>
    </row>
    <row r="7" spans="1:3" x14ac:dyDescent="0.5">
      <c r="A7" s="2" t="s">
        <v>39</v>
      </c>
      <c r="B7" s="4">
        <v>588</v>
      </c>
    </row>
    <row r="8" spans="1:3" x14ac:dyDescent="0.5">
      <c r="A8" s="2" t="s">
        <v>46</v>
      </c>
      <c r="B8" s="4">
        <v>882</v>
      </c>
    </row>
    <row r="9" spans="1:3" x14ac:dyDescent="0.5">
      <c r="A9" s="2" t="s">
        <v>62</v>
      </c>
      <c r="B9" s="4">
        <v>1470</v>
      </c>
    </row>
    <row r="14" spans="1:3" x14ac:dyDescent="0.5">
      <c r="A14" s="2" t="s">
        <v>39</v>
      </c>
      <c r="B14">
        <f>IFERROR(GETPIVOTDATA("Gender",$A$6,"Gender","Female"),0)</f>
        <v>588</v>
      </c>
      <c r="C14" s="5">
        <f>B14/($B$14+$B$15)</f>
        <v>0.4</v>
      </c>
    </row>
    <row r="15" spans="1:3" x14ac:dyDescent="0.5">
      <c r="A15" t="s">
        <v>46</v>
      </c>
      <c r="B15">
        <f>IFERROR(GETPIVOTDATA("Gender",$A$6,"Gender","Male"), 0)</f>
        <v>882</v>
      </c>
      <c r="C15" s="5">
        <f>B15/($B$14+$B$15)</f>
        <v>0.6</v>
      </c>
    </row>
    <row r="16" spans="1:3" x14ac:dyDescent="0.5">
      <c r="C16" s="5"/>
    </row>
    <row r="36" spans="1:2" x14ac:dyDescent="0.5">
      <c r="A36" s="1" t="s">
        <v>4</v>
      </c>
      <c r="B36" t="s">
        <v>78</v>
      </c>
    </row>
    <row r="37" spans="1:2" x14ac:dyDescent="0.5">
      <c r="A37" s="2">
        <v>1</v>
      </c>
      <c r="B37" s="4">
        <v>2786.9152854511972</v>
      </c>
    </row>
    <row r="38" spans="1:2" x14ac:dyDescent="0.5">
      <c r="A38" s="2">
        <v>2</v>
      </c>
      <c r="B38" s="4">
        <v>5502.2771535580523</v>
      </c>
    </row>
    <row r="39" spans="1:2" x14ac:dyDescent="0.5">
      <c r="A39" s="2">
        <v>3</v>
      </c>
      <c r="B39" s="4">
        <v>9817.2522935779816</v>
      </c>
    </row>
    <row r="40" spans="1:2" x14ac:dyDescent="0.5">
      <c r="A40" s="2">
        <v>4</v>
      </c>
      <c r="B40" s="4">
        <v>15503.783018867925</v>
      </c>
    </row>
    <row r="41" spans="1:2" x14ac:dyDescent="0.5">
      <c r="A41" s="2">
        <v>5</v>
      </c>
      <c r="B41" s="4">
        <v>19191.82608695652</v>
      </c>
    </row>
    <row r="42" spans="1:2" x14ac:dyDescent="0.5">
      <c r="A42" s="2" t="s">
        <v>62</v>
      </c>
      <c r="B42" s="4">
        <v>6502.931292517007</v>
      </c>
    </row>
    <row r="47" spans="1:2" x14ac:dyDescent="0.5">
      <c r="A47" s="1" t="s">
        <v>72</v>
      </c>
      <c r="B47" t="s">
        <v>75</v>
      </c>
    </row>
    <row r="48" spans="1:2" x14ac:dyDescent="0.5">
      <c r="A48" s="2">
        <v>1</v>
      </c>
      <c r="B48" s="4">
        <v>43440</v>
      </c>
    </row>
    <row r="49" spans="1:2" x14ac:dyDescent="0.5">
      <c r="A49" s="2">
        <v>2</v>
      </c>
      <c r="B49" s="4">
        <v>42720</v>
      </c>
    </row>
    <row r="50" spans="1:2" x14ac:dyDescent="0.5">
      <c r="A50" s="2">
        <v>3</v>
      </c>
      <c r="B50" s="4">
        <v>17440</v>
      </c>
    </row>
    <row r="51" spans="1:2" x14ac:dyDescent="0.5">
      <c r="A51" s="2">
        <v>4</v>
      </c>
      <c r="B51" s="4">
        <v>8480</v>
      </c>
    </row>
    <row r="52" spans="1:2" x14ac:dyDescent="0.5">
      <c r="A52" s="2">
        <v>5</v>
      </c>
      <c r="B52" s="4">
        <v>5520</v>
      </c>
    </row>
    <row r="53" spans="1:2" x14ac:dyDescent="0.5">
      <c r="A53" s="2" t="s">
        <v>62</v>
      </c>
      <c r="B53" s="4">
        <v>117600</v>
      </c>
    </row>
    <row r="63" spans="1:2" x14ac:dyDescent="0.5">
      <c r="A63" s="1" t="s">
        <v>70</v>
      </c>
      <c r="B63" t="s">
        <v>67</v>
      </c>
    </row>
    <row r="64" spans="1:2" x14ac:dyDescent="0.5">
      <c r="A64" s="2">
        <v>10</v>
      </c>
      <c r="B64" s="4">
        <v>6</v>
      </c>
    </row>
    <row r="65" spans="1:2" x14ac:dyDescent="0.5">
      <c r="A65" s="2">
        <v>14</v>
      </c>
      <c r="B65" s="4">
        <v>9</v>
      </c>
    </row>
    <row r="66" spans="1:2" x14ac:dyDescent="0.5">
      <c r="A66" s="2">
        <v>12</v>
      </c>
      <c r="B66" s="4">
        <v>10</v>
      </c>
    </row>
    <row r="67" spans="1:2" x14ac:dyDescent="0.5">
      <c r="A67" s="2">
        <v>13</v>
      </c>
      <c r="B67" s="4">
        <v>10</v>
      </c>
    </row>
    <row r="68" spans="1:2" x14ac:dyDescent="0.5">
      <c r="A68" s="2">
        <v>15</v>
      </c>
      <c r="B68" s="4">
        <v>13</v>
      </c>
    </row>
    <row r="69" spans="1:2" x14ac:dyDescent="0.5">
      <c r="A69" s="2">
        <v>9</v>
      </c>
      <c r="B69" s="4">
        <v>17</v>
      </c>
    </row>
    <row r="70" spans="1:2" x14ac:dyDescent="0.5">
      <c r="A70" s="2">
        <v>8</v>
      </c>
      <c r="B70" s="4">
        <v>18</v>
      </c>
    </row>
    <row r="71" spans="1:2" x14ac:dyDescent="0.5">
      <c r="A71" s="2">
        <v>11</v>
      </c>
      <c r="B71" s="4">
        <v>24</v>
      </c>
    </row>
    <row r="72" spans="1:2" x14ac:dyDescent="0.5">
      <c r="A72" s="2">
        <v>6</v>
      </c>
      <c r="B72" s="4">
        <v>32</v>
      </c>
    </row>
    <row r="73" spans="1:2" x14ac:dyDescent="0.5">
      <c r="A73" s="2">
        <v>5</v>
      </c>
      <c r="B73" s="4">
        <v>45</v>
      </c>
    </row>
    <row r="74" spans="1:2" x14ac:dyDescent="0.5">
      <c r="A74" s="2">
        <v>3</v>
      </c>
      <c r="B74" s="4">
        <v>52</v>
      </c>
    </row>
    <row r="75" spans="1:2" x14ac:dyDescent="0.5">
      <c r="A75" s="2">
        <v>4</v>
      </c>
      <c r="B75" s="4">
        <v>61</v>
      </c>
    </row>
    <row r="76" spans="1:2" x14ac:dyDescent="0.5">
      <c r="A76" s="2">
        <v>7</v>
      </c>
      <c r="B76" s="4">
        <v>76</v>
      </c>
    </row>
    <row r="77" spans="1:2" x14ac:dyDescent="0.5">
      <c r="A77" s="2">
        <v>2</v>
      </c>
      <c r="B77" s="4">
        <v>159</v>
      </c>
    </row>
    <row r="78" spans="1:2" x14ac:dyDescent="0.5">
      <c r="A78" s="2">
        <v>1</v>
      </c>
      <c r="B78" s="4">
        <v>357</v>
      </c>
    </row>
    <row r="79" spans="1:2" x14ac:dyDescent="0.5">
      <c r="A79" s="2">
        <v>0</v>
      </c>
      <c r="B79" s="4">
        <v>581</v>
      </c>
    </row>
    <row r="80" spans="1:2" x14ac:dyDescent="0.5">
      <c r="A80" s="2" t="s">
        <v>62</v>
      </c>
      <c r="B80" s="4">
        <v>1470</v>
      </c>
    </row>
    <row r="82" spans="1:2" x14ac:dyDescent="0.5">
      <c r="A82" s="1" t="s">
        <v>4</v>
      </c>
      <c r="B82" t="s">
        <v>73</v>
      </c>
    </row>
    <row r="83" spans="1:2" x14ac:dyDescent="0.5">
      <c r="A83" s="2" t="s">
        <v>61</v>
      </c>
      <c r="B83" s="6">
        <v>14.761904761904763</v>
      </c>
    </row>
    <row r="84" spans="1:2" x14ac:dyDescent="0.5">
      <c r="A84" s="2" t="s">
        <v>37</v>
      </c>
      <c r="B84" s="6">
        <v>15.096412556053812</v>
      </c>
    </row>
    <row r="85" spans="1:2" x14ac:dyDescent="0.5">
      <c r="A85" s="2" t="s">
        <v>45</v>
      </c>
      <c r="B85" s="6">
        <v>15.291363163371487</v>
      </c>
    </row>
    <row r="86" spans="1:2" x14ac:dyDescent="0.5">
      <c r="A86" s="2" t="s">
        <v>62</v>
      </c>
      <c r="B86" s="6">
        <v>15.209523809523809</v>
      </c>
    </row>
    <row r="93" spans="1:2" x14ac:dyDescent="0.5">
      <c r="A93" s="1" t="s">
        <v>65</v>
      </c>
      <c r="B93" t="s">
        <v>69</v>
      </c>
    </row>
    <row r="94" spans="1:2" x14ac:dyDescent="0.5">
      <c r="A94" s="2" t="s">
        <v>36</v>
      </c>
      <c r="B94" s="4">
        <v>1043</v>
      </c>
    </row>
    <row r="95" spans="1:2" x14ac:dyDescent="0.5">
      <c r="A95" s="2" t="s">
        <v>44</v>
      </c>
      <c r="B95" s="4">
        <v>277</v>
      </c>
    </row>
    <row r="96" spans="1:2" x14ac:dyDescent="0.5">
      <c r="A96" s="2" t="s">
        <v>55</v>
      </c>
      <c r="B96" s="4">
        <v>150</v>
      </c>
    </row>
    <row r="97" spans="1:2" x14ac:dyDescent="0.5">
      <c r="A97" s="2" t="s">
        <v>62</v>
      </c>
      <c r="B97" s="4">
        <v>1470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E9DB5-4BF5-4CC1-9A3E-31D43AC0A3AE}">
  <dimension ref="A1"/>
  <sheetViews>
    <sheetView tabSelected="1" workbookViewId="0">
      <selection activeCell="T25" sqref="T25"/>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HR-Employee-Attrition</vt:lpstr>
      <vt:lpstr>KPIs</vt:lpstr>
      <vt:lpstr>Total Employees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Niharika</dc:creator>
  <cp:lastModifiedBy>niharikabinjola2931@gmail.com</cp:lastModifiedBy>
  <dcterms:created xsi:type="dcterms:W3CDTF">2026-06-08T18:12:51Z</dcterms:created>
  <dcterms:modified xsi:type="dcterms:W3CDTF">2026-06-14T18:31:54Z</dcterms:modified>
</cp:coreProperties>
</file>